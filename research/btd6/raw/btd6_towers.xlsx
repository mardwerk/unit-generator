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287f39d1ed4b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0e944488b10401b"/>
    <x:sheet xmlns:r="http://schemas.openxmlformats.org/officeDocument/2006/relationships" name="Towers" sheetId="2" r:id="R2a716f22c4fc4f51"/>
    <x:sheet xmlns:r="http://schemas.openxmlformats.org/officeDocument/2006/relationships" name="Upgrades" sheetId="3" r:id="R94732f7d2a824247"/>
    <x:sheet xmlns:r="http://schemas.openxmlformats.org/officeDocument/2006/relationships" name="Abilities" sheetId="4" r:id="Rf6ba9d868160488b"/>
    <x:sheet xmlns:r="http://schemas.openxmlformats.org/officeDocument/2006/relationships" name="Paragon records" sheetId="5" r:id="Re618499831c54dc4"/>
    <x:sheet xmlns:r="http://schemas.openxmlformats.org/officeDocument/2006/relationships" name="Categories" sheetId="6" r:id="R29aed8558f084157"/>
    <x:sheet xmlns:r="http://schemas.openxmlformats.org/officeDocument/2006/relationships" name="Wiki history" sheetId="7" r:id="R8d6f7ccd9e5b43c0"/>
    <x:sheet xmlns:r="http://schemas.openxmlformats.org/officeDocument/2006/relationships" name="Sources" sheetId="8" r:id="R01032a3ea2264eac"/>
    <x:sheet xmlns:r="http://schemas.openxmlformats.org/officeDocument/2006/relationships" name="Price rules" sheetId="9" r:id="Rba5493a4d2ee4a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0.###"/>
    <x:numFmt numFmtId="202" formatCode="@"/>
    <x:numFmt numFmtId="203" formatCode="0.##"/>
    <x:numFmt numFmtId="204" formatCode="#,##0;[Red](#,##0);0"/>
    <x:numFmt numFmtId="205" formatCode="000"/>
  </x:numFmts>
  <x:fonts count="14">
    <x:font>
      <x:sz val="11"/>
      <x:name val="Carlito"/>
    </x:font>
    <x:font>
      <x:sz val="11"/>
      <x:name val="Aptos"/>
    </x:font>
    <x:font>
      <x:sz val="10"/>
      <x:name val="Aptos"/>
    </x:font>
    <x:font>
      <x:b/>
      <x:sz val="20"/>
      <x:color rgb="FFFFFFFF"/>
      <x:name val="Aptos"/>
    </x:font>
    <x:font>
      <x:sz val="10"/>
      <x:color rgb="FF506167"/>
      <x:name val="Aptos"/>
    </x:font>
    <x:font>
      <x:b/>
      <x:sz val="10"/>
      <x:color rgb="FFFFFFFF"/>
      <x:name val="Aptos"/>
    </x:font>
    <x:font>
      <x:b/>
      <x:sz val="23"/>
      <x:color rgb="FFFFFFFF"/>
      <x:name val="Aptos"/>
    </x:font>
    <x:font>
      <x:b/>
      <x:sz val="10"/>
      <x:color rgb="FF214C4E"/>
      <x:name val="Aptos"/>
    </x:font>
    <x:font>
      <x:b/>
      <x:sz val="28"/>
      <x:color rgb="FF173E42"/>
      <x:name val="Aptos"/>
    </x:font>
    <x:font>
      <x:b/>
      <x:sz val="11"/>
      <x:color rgb="FFFFFFFF"/>
      <x:name val="Aptos"/>
    </x:font>
    <x:font>
      <x:b/>
      <x:sz val="11"/>
      <x:color rgb="FF173E42"/>
      <x:name val="Aptos"/>
    </x:font>
    <x:font>
      <x:b/>
      <x:sz val="11"/>
      <x:color rgb="FF684B17"/>
      <x:name val="Aptos"/>
    </x:font>
    <x:font>
      <x:sz val="11"/>
      <x:color rgb="FF31484C"/>
      <x:name val="Aptos"/>
    </x:font>
    <x:font>
      <x:sz val="10"/>
      <x:color rgb="FF214C4E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E42"/>
      </x:patternFill>
    </x:fill>
    <x:fill>
      <x:patternFill patternType="solid">
        <x:fgColor rgb="FF296B69"/>
      </x:patternFill>
    </x:fill>
    <x:fill>
      <x:patternFill patternType="solid">
        <x:fgColor rgb="FFE8F1F0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/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vertical="top" wrapText="1"/>
    </x:xf>
    <x:xf numFmtId="200" fontId="2" fillId="0" borderId="1" xfId="0" applyNumberFormat="1" applyFont="1" applyFill="1" applyBorder="1" applyAlignment="1">
      <x:alignment vertical="top" wrapText="1"/>
    </x:xf>
    <x:xf numFmtId="201" fontId="2" fillId="0" borderId="0" xfId="0" applyNumberFormat="1" applyFont="1" applyFill="1" applyBorder="1" applyAlignment="1">
      <x:alignment vertical="top" wrapText="1"/>
    </x:xf>
    <x:xf numFmtId="201" fontId="2" fillId="0" borderId="1" xfId="0" applyNumberFormat="1" applyFont="1" applyFill="1" applyBorder="1" applyAlignment="1">
      <x:alignment vertical="top" wrapText="1"/>
    </x:xf>
    <x:xf numFmtId="202" fontId="2" fillId="0" borderId="0" xfId="0" applyNumberFormat="1" applyFont="1" applyFill="1" applyBorder="1" applyAlignment="1">
      <x:alignment vertical="top" wrapText="1"/>
    </x:xf>
    <x:xf numFmtId="202" fontId="2" fillId="0" borderId="1" xfId="0" applyNumberFormat="1" applyFont="1" applyFill="1" applyBorder="1" applyAlignment="1">
      <x:alignment vertical="top" wrapText="1"/>
    </x:xf>
    <x:xf numFmtId="203" fontId="2" fillId="0" borderId="0" xfId="0" applyNumberFormat="1" applyFont="1" applyFill="1" applyBorder="1" applyAlignment="1">
      <x:alignment vertical="top" wrapText="1"/>
    </x:xf>
    <x:xf numFmtId="203" fontId="2" fillId="0" borderId="1" xfId="0" applyNumberFormat="1" applyFont="1" applyFill="1" applyBorder="1" applyAlignment="1">
      <x:alignment vertical="top" wrapText="1"/>
    </x:xf>
    <x:xf numFmtId="204" fontId="2" fillId="0" borderId="0" xfId="0" applyNumberFormat="1" applyFont="1" applyFill="1" applyBorder="1" applyAlignment="1">
      <x:alignment vertical="top" wrapText="1"/>
    </x:xf>
    <x:xf numFmtId="204" fontId="2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/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0" fontId="1" fillId="4" borderId="1" xfId="0" applyNumberFormat="1" applyFont="1" applyFill="1" applyBorder="1"/>
    <x:xf numFmtId="0" fontId="7" fillId="4" borderId="1" xfId="0" applyNumberFormat="1" applyFont="1" applyFill="1" applyBorder="1"/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1" fillId="3" borderId="0" xfId="0" applyNumberFormat="1" applyFont="1" applyFill="1" applyBorder="1"/>
    <x:xf numFmtId="0" fontId="9" fillId="3" borderId="0" xfId="0" applyNumberFormat="1" applyFont="1" applyFill="1" applyBorder="1"/>
    <x:xf numFmtId="0" fontId="1" fillId="3" borderId="1" xfId="0" applyNumberFormat="1" applyFont="1" applyFill="1" applyBorder="1"/>
    <x:xf numFmtId="0" fontId="9" fillId="3" borderId="1" xfId="0" applyNumberFormat="1" applyFont="1" applyFill="1" applyBorder="1"/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horizontal="center"/>
    </x:xf>
    <x:xf numFmtId="0" fontId="10" fillId="0" borderId="1" xfId="0" applyNumberFormat="1" applyFont="1" applyFill="1" applyBorder="1"/>
    <x:xf numFmtId="0" fontId="10" fillId="0" borderId="1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horizontal="center" wrapText="1"/>
    </x:xf>
    <x:xf numFmtId="0" fontId="1" fillId="0" borderId="1" xfId="0" applyNumberFormat="1" applyFont="1" applyFill="1" applyBorder="1" applyAlignment="1">
      <x:alignment wrapText="1"/>
    </x:xf>
    <x:xf numFmtId="0" fontId="10" fillId="0" borderId="1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/>
    <x:xf numFmtId="0" fontId="11" fillId="5" borderId="0" xfId="0" applyNumberFormat="1" applyFont="1" applyFill="1" applyBorder="1"/>
    <x:xf numFmtId="0" fontId="1" fillId="5" borderId="1" xfId="0" applyNumberFormat="1" applyFont="1" applyFill="1" applyBorder="1"/>
    <x:xf numFmtId="0" fontId="11" fillId="5" borderId="1" xfId="0" applyNumberFormat="1" applyFont="1" applyFill="1" applyBorder="1"/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vertical="center" wrapText="1"/>
    </x:xf>
    <x:xf numFmtId="0" fontId="12" fillId="0" borderId="1" xfId="0" applyNumberFormat="1" applyFont="1" applyFill="1" applyBorder="1"/>
    <x:xf numFmtId="0" fontId="12" fillId="0" borderId="1" xfId="0" applyNumberFormat="1" applyFont="1" applyFill="1" applyBorder="1" applyAlignment="1">
      <x:alignment wrapText="1"/>
    </x:xf>
    <x:xf numFmtId="0" fontId="12" fillId="0" borderId="1" xfId="0" applyNumberFormat="1" applyFont="1" applyFill="1" applyBorder="1" applyAlignment="1">
      <x:alignment vertical="center" wrapText="1"/>
    </x:xf>
    <x:xf numFmtId="0" fontId="13" fillId="4" borderId="0" xfId="0" applyNumberFormat="1" applyFont="1" applyFill="1" applyBorder="1"/>
    <x:xf numFmtId="0" fontId="13" fillId="4" borderId="0" xfId="0" applyNumberFormat="1" applyFont="1" applyFill="1" applyBorder="1" applyAlignment="1">
      <x:alignment wrapText="1"/>
    </x:xf>
    <x:xf numFmtId="0" fontId="13" fillId="4" borderId="1" xfId="0" applyNumberFormat="1" applyFont="1" applyFill="1" applyBorder="1"/>
    <x:xf numFmtId="0" fontId="13" fillId="4" borderId="1" xfId="0" applyNumberFormat="1" applyFont="1" applyFill="1" applyBorder="1" applyAlignment="1">
      <x:alignment wrapText="1"/>
    </x:xf>
    <x:xf numFmtId="205" fontId="2" fillId="0" borderId="0" xfId="0" applyNumberFormat="1" applyFont="1" applyFill="1" applyBorder="1" applyAlignment="1">
      <x:alignment vertical="top" wrapText="1"/>
    </x:xf>
    <x:xf numFmtId="205" fontId="2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d21700359941e6" /><Relationship Type="http://schemas.openxmlformats.org/officeDocument/2006/relationships/theme" Target="/xl/theme/theme1.xml" Id="R3222ce04a27d448a" /><Relationship Type="http://schemas.openxmlformats.org/officeDocument/2006/relationships/sharedStrings" Target="/xl/sharedStrings.xml" Id="Ra358860690274416" /><Relationship Type="http://schemas.openxmlformats.org/officeDocument/2006/relationships/worksheet" Target="/xl/worksheets/sheet1.xml" Id="R80e944488b10401b" /><Relationship Type="http://schemas.openxmlformats.org/officeDocument/2006/relationships/worksheet" Target="/xl/worksheets/sheet2.xml" Id="R2a716f22c4fc4f51" /><Relationship Type="http://schemas.openxmlformats.org/officeDocument/2006/relationships/worksheet" Target="/xl/worksheets/sheet3.xml" Id="R94732f7d2a824247" /><Relationship Type="http://schemas.openxmlformats.org/officeDocument/2006/relationships/worksheet" Target="/xl/worksheets/sheet4.xml" Id="Rf6ba9d868160488b" /><Relationship Type="http://schemas.openxmlformats.org/officeDocument/2006/relationships/worksheet" Target="/xl/worksheets/sheet5.xml" Id="Re618499831c54dc4" /><Relationship Type="http://schemas.openxmlformats.org/officeDocument/2006/relationships/worksheet" Target="/xl/worksheets/sheet6.xml" Id="R29aed8558f084157" /><Relationship Type="http://schemas.openxmlformats.org/officeDocument/2006/relationships/worksheet" Target="/xl/worksheets/sheet7.xml" Id="R8d6f7ccd9e5b43c0" /><Relationship Type="http://schemas.openxmlformats.org/officeDocument/2006/relationships/worksheet" Target="/xl/worksheets/sheet8.xml" Id="R01032a3ea2264eac" /><Relationship Type="http://schemas.openxmlformats.org/officeDocument/2006/relationships/worksheet" Target="/xl/worksheets/sheet9.xml" Id="Rba5493a4d2ee4a55" /></Relationships>
</file>

<file path=xl/tables/table1.xml><?xml version="1.0" encoding="utf-8"?>
<x:table xmlns:x="http://schemas.openxmlformats.org/spreadsheetml/2006/main" id="2" name="TowersTable" displayName="TowersTable" ref="A4:W30" headerRowCount="1" totalsRowCount="0" totalsRowShown="0">
  <x:tableColumns count="23">
    <x:tableColumn id="1" name="Tower"/>
    <x:tableColumn id="2" name="Game class"/>
    <x:tableColumn id="3" name="Family role"/>
    <x:tableColumn id="4" name="Base role"/>
    <x:tableColumn id="5" name="Medium cash"/>
    <x:tableColumn id="6" name="Easy calc."/>
    <x:tableColumn id="7" name="Hard calc."/>
    <x:tableColumn id="8" name="Impoppable calc."/>
    <x:tableColumn id="9" name="Base damage"/>
    <x:tableColumn id="10" name="Base pierce"/>
    <x:tableColumn id="11" name="Interval, s"/>
    <x:tableColumn id="12" name="Local range"/>
    <x:tableColumn id="13" name="Range scope"/>
    <x:tableColumn id="14" name="Placement"/>
    <x:tableColumn id="15" name="Description"/>
    <x:tableColumn id="16" name="Stat notes"/>
    <x:tableColumn id="17" name="Camo handling"/>
    <x:tableColumn id="18" name="Top-path role"/>
    <x:tableColumn id="19" name="Middle-path role"/>
    <x:tableColumn id="20" name="Bottom-path role"/>
    <x:tableColumn id="21" name="Stats source URL"/>
    <x:tableColumn id="22" name="Cost source URL"/>
    <x:tableColumn id="23" name="Wiki reference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UpgradesTable" displayName="UpgradesTable" ref="A4:T394" headerRowCount="1" totalsRowCount="0" totalsRowShown="0">
  <x:tableColumns count="20">
    <x:tableColumn id="1" name="Tower"/>
    <x:tableColumn id="2" name="Code"/>
    <x:tableColumn id="3" name="Path"/>
    <x:tableColumn id="4" name="Tier"/>
    <x:tableColumn id="5" name="Upgrade"/>
    <x:tableColumn id="6" name="Medium increment"/>
    <x:tableColumn id="7" name="Easy calc."/>
    <x:tableColumn id="8" name="Hard calc."/>
    <x:tableColumn id="9" name="Impoppable calc."/>
    <x:tableColumn id="10" name="Medium bare-path total"/>
    <x:tableColumn id="11" name="Historical wiki XP"/>
    <x:tableColumn id="12" name="Build role"/>
    <x:tableColumn id="13" name="Effect summary"/>
    <x:tableColumn id="14" name="Cost kind"/>
    <x:tableColumn id="15" name="Raw source Medium"/>
    <x:tableColumn id="16" name="Model reference URL"/>
    <x:tableColumn id="17" name="Cost source URL"/>
    <x:tableColumn id="18" name="Effect source URL"/>
    <x:tableColumn id="19" name="XP source URL"/>
    <x:tableColumn id="20" name="Wiki base-stat vers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AbilitiesTable" displayName="AbilitiesTable" ref="A4:K75" headerRowCount="1" totalsRowCount="0" totalsRowShown="0">
  <x:tableColumns count="11">
    <x:tableColumn id="1" name="Tower"/>
    <x:tableColumn id="2" name="Unlock code"/>
    <x:tableColumn id="3" name="Ability / control"/>
    <x:tableColumn id="4" name="Trigger"/>
    <x:tableColumn id="5" name="Cooldown, s"/>
    <x:tableColumn id="6" name="Duration, s"/>
    <x:tableColumn id="7" name="Effect"/>
    <x:tableColumn id="8" name="Numerical coverage"/>
    <x:tableColumn id="9" name="Model reference URL"/>
    <x:tableColumn id="10" name="Effect source URL"/>
    <x:tableColumn id="11" name="Cooldown source 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" name="ParagonrecordsTable" displayName="ParagonrecordsTable" ref="A4:L17" headerRowCount="1" totalsRowCount="0" totalsRowShown="0">
  <x:tableColumns count="12">
    <x:tableColumn id="1" name="Tower"/>
    <x:tableColumn id="2" name="Paragon name"/>
    <x:tableColumn id="3" name="Medium upgrade"/>
    <x:tableColumn id="4" name="Easy calc."/>
    <x:tableColumn id="5" name="Hard calc."/>
    <x:tableColumn id="6" name="Impoppable calc."/>
    <x:tableColumn id="7" name="Unlock XP"/>
    <x:tableColumn id="8" name="Editorial role"/>
    <x:tableColumn id="9" name="Summary"/>
    <x:tableColumn id="10" name="Availability status"/>
    <x:tableColumn id="11" name="Coverage limit"/>
    <x:tableColumn id="12" name="Source 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6" name="CategoriesTable" displayName="CategoriesTable" ref="A4:C14" headerRowCount="1" totalsRowCount="0" totalsRowShown="0">
  <x:tableColumns count="3">
    <x:tableColumn id="1" name="Category ID"/>
    <x:tableColumn id="2" name="Definition"/>
    <x:tableColumn id="3" name="Assignment rul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7" name="WikihistoryTable" displayName="WikihistoryTable" ref="A4:G11" headerRowCount="1" totalsRowCount="0" totalsRowShown="0">
  <x:tableColumns count="7">
    <x:tableColumn id="1" name="Tower"/>
    <x:tableColumn id="2" name="Base-stat table version"/>
    <x:tableColumn id="3" name="Wiki Medium placement"/>
    <x:tableColumn id="4" name="Cost-table Medium"/>
    <x:tableColumn id="5" name="Difference"/>
    <x:tableColumn id="6" name="Version interpretation"/>
    <x:tableColumn id="7" name="Wiki source UR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8" name="SourcesTable" displayName="SourcesTable" ref="A4:F55" headerRowCount="1" totalsRowCount="0" totalsRowShown="0">
  <x:tableColumns count="6">
    <x:tableColumn id="1" name="Source ID"/>
    <x:tableColumn id="2" name="Title"/>
    <x:tableColumn id="3" name="URL"/>
    <x:tableColumn id="4" name="Used for"/>
    <x:tableColumn id="5" name="Version label"/>
    <x:tableColumn id="6" name="Retrieved 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1" name="PricerulesTable" displayName="PricerulesTable" ref="A4:C10" headerRowCount="1" totalsRowCount="0" totalsRowShown="0">
  <x:tableColumns count="3">
    <x:tableColumn id="1" name="Parameter"/>
    <x:tableColumn id="2" name="Value"/>
    <x:tableColumn id="3" name="Mean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4845aceb6414f2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c2d7c08b306468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2165e9a926a48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47c3b6100ee41d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c23c2dacf95451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dd50d3ee8714c6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abdf404bee44f4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ac4722817b24b62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1" customHeight="1">
      <x:c r="A1" s="43" t="str">
        <x:v>Bloons TD 6
Tower reference and role taxonomy</x:v>
      </x:c>
      <x:c r="B1" s="43"/>
      <x:c r="C1" s="43"/>
      <x:c r="D1" s="43"/>
      <x:c r="E1" s="43"/>
      <x:c r="F1" s="43"/>
      <x:c r="G1" s="43"/>
      <x:c r="H1" s="43"/>
    </x:row>
    <x:row r="2" ht="31" customHeight="1">
      <x:c r="A2" s="43"/>
      <x:c r="B2" s="43"/>
      <x:c r="C2" s="43"/>
      <x:c r="D2" s="43"/>
      <x:c r="E2" s="43"/>
      <x:c r="F2" s="43"/>
      <x:c r="G2" s="43"/>
      <x:c r="H2" s="43"/>
    </x:row>
    <x:row r="3" ht="29" customHeight="1">
      <x:c r="A3" s="12" t="str">
        <x:v>Compiled 20 September 2026 | 26 requested towers | Mixed source snapshots, no verified patch lock</x:v>
      </x:c>
      <x:c r="B3" s="12"/>
      <x:c r="C3" s="12"/>
      <x:c r="D3" s="12"/>
      <x:c r="E3" s="12"/>
      <x:c r="F3" s="12"/>
      <x:c r="G3" s="12"/>
      <x:c r="H3" s="12"/>
    </x:row>
    <x:row r="4" ht="24" customHeight="1">
      <x:c r="A4" s="49" t="str">
        <x:v>Requested towers</x:v>
      </x:c>
      <x:c r="B4" s="49"/>
      <x:c r="C4" s="49" t="str">
        <x:v>Regular upgrades</x:v>
      </x:c>
      <x:c r="D4" s="49"/>
      <x:c r="E4" s="49" t="str">
        <x:v>Abilities / controls</x:v>
      </x:c>
      <x:c r="F4" s="49"/>
      <x:c r="G4" s="49" t="str">
        <x:v>Exported Paragons</x:v>
      </x:c>
      <x:c r="H4" s="49"/>
    </x:row>
    <x:row r="5" ht="25" customHeight="1">
      <x:c r="A5" s="52" t="n">
        <x:f>COUNTA(Towers!A5:A30)</x:f>
        <x:v>26</x:v>
      </x:c>
      <x:c r="B5" s="52"/>
      <x:c r="C5" s="52" t="n">
        <x:f>COUNTA(Upgrades!E5:E394)</x:f>
        <x:v>390</x:v>
      </x:c>
      <x:c r="D5" s="52"/>
      <x:c r="E5" s="52" t="n">
        <x:f>COUNTA(Abilities!C5:C75)</x:f>
        <x:v>71</x:v>
      </x:c>
      <x:c r="F5" s="52"/>
      <x:c r="G5" s="52" t="n">
        <x:f>COUNTA('Paragon records'!B5:B17)</x:f>
        <x:v>13</x:v>
      </x:c>
      <x:c r="H5" s="52"/>
    </x:row>
    <x:row r="6" ht="25" customHeight="1">
      <x:c r="A6" s="52"/>
      <x:c r="B6" s="52"/>
      <x:c r="C6" s="52"/>
      <x:c r="D6" s="52"/>
      <x:c r="E6" s="52"/>
      <x:c r="F6" s="52"/>
      <x:c r="G6" s="52"/>
      <x:c r="H6" s="52"/>
    </x:row>
    <x:row r="7" ht="22" customHeight="1">
      <x:c r="A7" s="2"/>
      <x:c r="B7" s="2"/>
      <x:c r="C7" s="2"/>
      <x:c r="D7" s="2"/>
      <x:c r="E7" s="2"/>
      <x:c r="F7" s="2"/>
      <x:c r="G7" s="2"/>
      <x:c r="H7" s="2"/>
    </x:row>
    <x:row r="8" ht="25" customHeight="1">
      <x:c r="A8" s="55" t="str">
        <x:v>What is covered</x:v>
      </x:c>
      <x:c r="B8" s="55"/>
      <x:c r="C8" s="55"/>
      <x:c r="D8" s="55"/>
      <x:c r="E8" s="55"/>
      <x:c r="F8" s="55"/>
      <x:c r="G8" s="55"/>
      <x:c r="H8" s="55"/>
    </x:row>
    <x:row r="9" ht="34" customHeight="1">
      <x:c r="A9" s="62" t="str">
        <x:v>Fixed upgrade prices</x:v>
      </x:c>
      <x:c r="B9" s="62"/>
      <x:c r="C9" s="62"/>
      <x:c r="D9" s="63" t="n">
        <x:f>COUNTIF(Upgrades!N5:N394,"fixed_upgrade_price")</x:f>
        <x:v>389</x:v>
      </x:c>
      <x:c r="E9" s="62" t="str">
        <x:v>Medium values transcribed; other difficulties calculated.</x:v>
      </x:c>
      <x:c r="F9" s="62"/>
      <x:c r="G9" s="62"/>
      <x:c r="H9" s="62"/>
    </x:row>
    <x:row r="10" ht="34" customHeight="1">
      <x:c r="A10" s="62" t="str">
        <x:v>Conditional prices</x:v>
      </x:c>
      <x:c r="B10" s="62"/>
      <x:c r="C10" s="62"/>
      <x:c r="D10" s="63" t="n">
        <x:f>COUNTIF(Upgrades!N5:N394,"conditional")</x:f>
        <x:v>1</x:v>
      </x:c>
      <x:c r="E10" s="62" t="str">
        <x:v>Monkeyopolis depends on the Farms it absorbs.</x:v>
      </x:c>
      <x:c r="F10" s="62"/>
      <x:c r="G10" s="62"/>
      <x:c r="H10" s="62"/>
    </x:row>
    <x:row r="11" ht="34" customHeight="1">
      <x:c r="A11" s="62" t="str">
        <x:v>Verified cooldowns</x:v>
      </x:c>
      <x:c r="B11" s="62"/>
      <x:c r="C11" s="62"/>
      <x:c r="D11" s="63" t="n">
        <x:f>COUNT(Abilities!E5:E75)</x:f>
        <x:v>6</x:v>
      </x:c>
      <x:c r="E11" s="62" t="str">
        <x:v>Other blank timings are unverified or not applicable.</x:v>
      </x:c>
      <x:c r="F11" s="62"/>
      <x:c r="G11" s="62"/>
      <x:c r="H11" s="62"/>
    </x:row>
    <x:row r="12" ht="34" customHeight="1">
      <x:c r="A12" s="62" t="str">
        <x:v>Historical XP values</x:v>
      </x:c>
      <x:c r="B12" s="62"/>
      <x:c r="C12" s="62"/>
      <x:c r="D12" s="63" t="n">
        <x:f>COUNT(Upgrades!K5:K394)</x:f>
        <x:v>105</x:v>
      </x:c>
      <x:c r="E12" s="62" t="str">
        <x:v>Older wiki values are kept separate from current-source inputs.</x:v>
      </x:c>
      <x:c r="F12" s="62"/>
      <x:c r="G12" s="62"/>
      <x:c r="H12" s="62"/>
    </x:row>
    <x:row r="13" ht="22" customHeight="1">
      <x:c r="A13" s="2"/>
      <x:c r="B13" s="2"/>
      <x:c r="C13" s="2"/>
      <x:c r="D13" s="2"/>
      <x:c r="E13" s="2"/>
      <x:c r="F13" s="2"/>
      <x:c r="G13" s="2"/>
      <x:c r="H13" s="2"/>
    </x:row>
    <x:row r="14" ht="25" customHeight="1">
      <x:c r="A14" s="67" t="str">
        <x:v>Read this before comparing builds</x:v>
      </x:c>
      <x:c r="B14" s="67"/>
      <x:c r="C14" s="67"/>
      <x:c r="D14" s="67"/>
      <x:c r="E14" s="67"/>
      <x:c r="F14" s="67"/>
      <x:c r="G14" s="67"/>
      <x:c r="H14" s="67"/>
    </x:row>
    <x:row r="15" ht="23" customHeight="1">
      <x:c r="A15" s="72" t="str">
        <x:v>This is a consolidated reference, not a wiki-only scrape or a complete game-engine export. Sources are not pinned to one verified patch.</x:v>
      </x:c>
      <x:c r="B15" s="72"/>
      <x:c r="C15" s="72"/>
      <x:c r="D15" s="72"/>
      <x:c r="E15" s="72"/>
      <x:c r="F15" s="72"/>
      <x:c r="G15" s="72"/>
      <x:c r="H15" s="72"/>
    </x:row>
    <x:row r="16" ht="23" customHeight="1">
      <x:c r="A16" s="72"/>
      <x:c r="B16" s="72"/>
      <x:c r="C16" s="72"/>
      <x:c r="D16" s="72"/>
      <x:c r="E16" s="72"/>
      <x:c r="F16" s="72"/>
      <x:c r="G16" s="72"/>
      <x:c r="H16" s="72"/>
    </x:row>
    <x:row r="17" ht="23" customHeight="1">
      <x:c r="A17" s="72" t="str">
        <x:v>Cash means in-game currency. Incremental upgrade costs exclude earlier upgrades. Bare-path totals exclude crosspaths, sacrifices and extra Beast Handlers.</x:v>
      </x:c>
      <x:c r="B17" s="72"/>
      <x:c r="C17" s="72"/>
      <x:c r="D17" s="72"/>
      <x:c r="E17" s="72"/>
      <x:c r="F17" s="72"/>
      <x:c r="G17" s="72"/>
      <x:c r="H17" s="72"/>
    </x:row>
    <x:row r="18" ht="23" customHeight="1">
      <x:c r="A18" s="72"/>
      <x:c r="B18" s="72"/>
      <x:c r="C18" s="72"/>
      <x:c r="D18" s="72"/>
      <x:c r="E18" s="72"/>
      <x:c r="F18" s="72"/>
      <x:c r="G18" s="72"/>
      <x:c r="H18" s="72"/>
    </x:row>
    <x:row r="19" ht="23" customHeight="1">
      <x:c r="A19" s="72" t="str">
        <x:v>Damage and pierce refer to the named base attack component. Range can mean a local radius, aircraft coverage or global targeting. No simple DPS ranking is implied.</x:v>
      </x:c>
      <x:c r="B19" s="72"/>
      <x:c r="C19" s="72"/>
      <x:c r="D19" s="72"/>
      <x:c r="E19" s="72"/>
      <x:c r="F19" s="72"/>
      <x:c r="G19" s="72"/>
      <x:c r="H19" s="72"/>
    </x:row>
    <x:row r="20" ht="23" customHeight="1">
      <x:c r="A20" s="72"/>
      <x:c r="B20" s="72"/>
      <x:c r="C20" s="72"/>
      <x:c r="D20" s="72"/>
      <x:c r="E20" s="72"/>
      <x:c r="F20" s="72"/>
      <x:c r="G20" s="72"/>
      <x:c r="H20" s="72"/>
    </x:row>
    <x:row r="21" ht="23" customHeight="1">
      <x:c r="A21" s="72" t="str">
        <x:v>The 13 Paragon entries are records found in the source export. Their presence does not establish that all are currently released. Full degree scaling is not included.</x:v>
      </x:c>
      <x:c r="B21" s="72"/>
      <x:c r="C21" s="72"/>
      <x:c r="D21" s="72"/>
      <x:c r="E21" s="72"/>
      <x:c r="F21" s="72"/>
      <x:c r="G21" s="72"/>
      <x:c r="H21" s="72"/>
    </x:row>
    <x:row r="22" ht="23" customHeight="1">
      <x:c r="A22" s="72"/>
      <x:c r="B22" s="72"/>
      <x:c r="C22" s="72"/>
      <x:c r="D22" s="72"/>
      <x:c r="E22" s="72"/>
      <x:c r="F22" s="72"/>
      <x:c r="G22" s="72"/>
      <x:c r="H22" s="72"/>
    </x:row>
    <x:row r="23" ht="23" customHeight="1">
      <x:c r="A23" s="72" t="str">
        <x:v>Blank values do not mean zero. Full upgraded projectile stats, every cooldown and duration, and all crosspath interactions were not normalized.</x:v>
      </x:c>
      <x:c r="B23" s="72"/>
      <x:c r="C23" s="72"/>
      <x:c r="D23" s="72"/>
      <x:c r="E23" s="72"/>
      <x:c r="F23" s="72"/>
      <x:c r="G23" s="72"/>
      <x:c r="H23" s="72"/>
    </x:row>
    <x:row r="24" ht="23" customHeight="1">
      <x:c r="A24" s="72"/>
      <x:c r="B24" s="72"/>
      <x:c r="C24" s="72"/>
      <x:c r="D24" s="72"/>
      <x:c r="E24" s="72"/>
      <x:c r="F24" s="72"/>
      <x:c r="G24" s="72"/>
      <x:c r="H24" s="72"/>
    </x:row>
    <x:row r="25" ht="23" customHeight="1">
      <x:c r="A25" s="72" t="str">
        <x:v>The ten role categories are custom. Family defaults, base roles and mature-path roles are separate because an upgrade can change a tower's main purpose.</x:v>
      </x:c>
      <x:c r="B25" s="72"/>
      <x:c r="C25" s="72"/>
      <x:c r="D25" s="72"/>
      <x:c r="E25" s="72"/>
      <x:c r="F25" s="72"/>
      <x:c r="G25" s="72"/>
      <x:c r="H25" s="72"/>
    </x:row>
    <x:row r="26" ht="23" customHeight="1">
      <x:c r="A26" s="72"/>
      <x:c r="B26" s="72"/>
      <x:c r="C26" s="72"/>
      <x:c r="D26" s="72"/>
      <x:c r="E26" s="72"/>
      <x:c r="F26" s="72"/>
      <x:c r="G26" s="72"/>
      <x:c r="H26" s="72"/>
    </x:row>
    <x:row r="27" ht="22" customHeight="1">
      <x:c r="A27" s="2"/>
      <x:c r="B27" s="2"/>
      <x:c r="C27" s="2"/>
      <x:c r="D27" s="2"/>
      <x:c r="E27" s="2"/>
      <x:c r="F27" s="2"/>
      <x:c r="G27" s="2"/>
      <x:c r="H27" s="2"/>
    </x:row>
    <x:row r="28" ht="35" customHeight="1">
      <x:c r="A28" s="77" t="str">
        <x:v>Navigation: Towers | Upgrades | Abilities | Paragon records | Categories | Wiki history | Sources | Price rules</x:v>
      </x:c>
      <x:c r="B28" s="77"/>
      <x:c r="C28" s="77"/>
      <x:c r="D28" s="77"/>
      <x:c r="E28" s="77"/>
      <x:c r="F28" s="77"/>
      <x:c r="G28" s="77"/>
      <x:c r="H28" s="77"/>
    </x:row>
    <x:row r="29" ht="22" customHeight="1">
      <x:c r="A29" s="2"/>
      <x:c r="B29" s="2"/>
      <x:c r="C29" s="2"/>
      <x:c r="D29" s="2"/>
      <x:c r="E29" s="2"/>
      <x:c r="F29" s="2"/>
      <x:c r="G29" s="2"/>
      <x:c r="H29" s="2"/>
    </x:row>
    <x:row r="30" ht="22" customHeight="1">
      <x:c r="A30" s="2"/>
      <x:c r="B30" s="2"/>
      <x:c r="C30" s="2"/>
      <x:c r="D30" s="2"/>
      <x:c r="E30" s="2"/>
      <x:c r="F30" s="2"/>
      <x:c r="G30" s="2"/>
      <x:c r="H30" s="2"/>
    </x:row>
    <x:row r="31" ht="22" customHeight="1">
      <x:c r="A31" s="2"/>
      <x:c r="B31" s="2"/>
      <x:c r="C31" s="2"/>
      <x:c r="D31" s="2"/>
      <x:c r="E31" s="2"/>
      <x:c r="F31" s="2"/>
      <x:c r="G31" s="2"/>
      <x:c r="H31" s="2"/>
    </x:row>
  </x:sheetData>
  <x:mergeCells>
    <x:mergeCell ref="A1:H2"/>
    <x:mergeCell ref="A3:H3"/>
    <x:mergeCell ref="A4:B4"/>
    <x:mergeCell ref="A5:B6"/>
    <x:mergeCell ref="C4:D4"/>
    <x:mergeCell ref="C5:D6"/>
    <x:mergeCell ref="E4:F4"/>
    <x:mergeCell ref="E5:F6"/>
    <x:mergeCell ref="G4:H4"/>
    <x:mergeCell ref="G5:H6"/>
    <x:mergeCell ref="A8:H8"/>
    <x:mergeCell ref="A9:C9"/>
    <x:mergeCell ref="A10:C10"/>
    <x:mergeCell ref="A11:C11"/>
    <x:mergeCell ref="A12:C12"/>
    <x:mergeCell ref="E9:H9"/>
    <x:mergeCell ref="E10:H10"/>
    <x:mergeCell ref="E11:H11"/>
    <x:mergeCell ref="E12:H12"/>
    <x:mergeCell ref="A14:H14"/>
    <x:mergeCell ref="A15:H16"/>
    <x:mergeCell ref="A17:H18"/>
    <x:mergeCell ref="A19:H20"/>
    <x:mergeCell ref="A21:H22"/>
    <x:mergeCell ref="A23:H24"/>
    <x:mergeCell ref="A25:H26"/>
    <x:mergeCell ref="A28:H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4" hidden="0" customWidth="1"/>
    <x:col min="3" max="3" width="16" hidden="0" customWidth="1"/>
    <x:col min="4" max="4" width="16" hidden="0" customWidth="1"/>
    <x:col min="5" max="5" width="15" hidden="0" customWidth="1"/>
    <x:col min="6" max="6" width="14" hidden="0" customWidth="1"/>
    <x:col min="7" max="7" width="14" hidden="0" customWidth="1"/>
    <x:col min="8" max="8" width="17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30" hidden="0" customWidth="1"/>
    <x:col min="14" max="14" width="25" hidden="0" customWidth="1"/>
    <x:col min="15" max="15" width="40" hidden="0" customWidth="1"/>
    <x:col min="16" max="16" width="40" hidden="0" customWidth="1"/>
    <x:col min="17" max="17" width="32" hidden="0" customWidth="1"/>
    <x:col min="18" max="18" width="17" hidden="0" customWidth="1"/>
    <x:col min="19" max="19" width="18" hidden="0" customWidth="1"/>
    <x:col min="20" max="20" width="18" hidden="0" customWidth="1"/>
    <x:col min="21" max="21" width="40" hidden="0" customWidth="1"/>
    <x:col min="22" max="22" width="40" hidden="0" customWidth="1"/>
    <x:col min="23" max="23" width="40" hidden="0" customWidth="1"/>
  </x:cols>
  <x:sheetData>
    <x:row r="1" ht="38" customHeight="1">
      <x:c r="A1" s="8" t="str">
        <x:v>Tower roster</x:v>
      </x:c>
      <x:c r="B1" s="8"/>
      <x:c r="C1" s="8"/>
      <x:c r="D1" s="8"/>
      <x:c r="E1" s="8"/>
      <x:c r="F1" s="8"/>
      <x:c r="G1" s="8"/>
      <x:c r="H1" s="8"/>
      <x:c r="I1" s="8"/>
      <x:c r="J1" s="8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</x:row>
    <x:row r="2" ht="34" customHeight="1">
      <x:c r="A2" s="13" t="str">
        <x:v>26 requested towers. Cash is in-game currency. Family roles are editorial defaults; base and mature-path roles are separate.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</x:row>
    <x:row r="4" ht="34" customHeight="1">
      <x:c r="A4" s="19" t="str">
        <x:v>Tower</x:v>
      </x:c>
      <x:c r="B4" s="19" t="str">
        <x:v>Game class</x:v>
      </x:c>
      <x:c r="C4" s="19" t="str">
        <x:v>Family role</x:v>
      </x:c>
      <x:c r="D4" s="19" t="str">
        <x:v>Base role</x:v>
      </x:c>
      <x:c r="E4" s="19" t="str">
        <x:v>Medium cash</x:v>
      </x:c>
      <x:c r="F4" s="19" t="str">
        <x:v>Easy calc.</x:v>
      </x:c>
      <x:c r="G4" s="19" t="str">
        <x:v>Hard calc.</x:v>
      </x:c>
      <x:c r="H4" s="19" t="str">
        <x:v>Impoppable calc.</x:v>
      </x:c>
      <x:c r="I4" s="19" t="str">
        <x:v>Base damage</x:v>
      </x:c>
      <x:c r="J4" s="19" t="str">
        <x:v>Base pierce</x:v>
      </x:c>
      <x:c r="K4" s="19" t="str">
        <x:v>Interval, s</x:v>
      </x:c>
      <x:c r="L4" s="19" t="str">
        <x:v>Local range</x:v>
      </x:c>
      <x:c r="M4" s="19" t="str">
        <x:v>Range scope</x:v>
      </x:c>
      <x:c r="N4" s="19" t="str">
        <x:v>Placement</x:v>
      </x:c>
      <x:c r="O4" s="19" t="str">
        <x:v>Description</x:v>
      </x:c>
      <x:c r="P4" s="19" t="str">
        <x:v>Stat notes</x:v>
      </x:c>
      <x:c r="Q4" s="19" t="str">
        <x:v>Camo handling</x:v>
      </x:c>
      <x:c r="R4" s="19" t="str">
        <x:v>Top-path role</x:v>
      </x:c>
      <x:c r="S4" s="19" t="str">
        <x:v>Middle-path role</x:v>
      </x:c>
      <x:c r="T4" s="19" t="str">
        <x:v>Bottom-path role</x:v>
      </x:c>
      <x:c r="U4" s="19" t="str">
        <x:v>Stats source URL</x:v>
      </x:c>
      <x:c r="V4" s="19" t="str">
        <x:v>Cost source URL</x:v>
      </x:c>
      <x:c r="W4" s="19" t="str">
        <x:v>Wiki reference URL</x:v>
      </x:c>
    </x:row>
    <x:row r="5" ht="98" customHeight="1">
      <x:c r="A5" s="25" t="str">
        <x:v>Dart Monkey</x:v>
      </x:c>
      <x:c r="B5" s="25" t="str">
        <x:v>Primary</x:v>
      </x:c>
      <x:c r="C5" s="25" t="str">
        <x:v>basic_dps</x:v>
      </x:c>
      <x:c r="D5" s="25" t="str">
        <x:v>basic_dps</x:v>
      </x:c>
      <x:c r="E5" s="30" t="n">
        <x:v>200</x:v>
      </x:c>
      <x:c r="F5" s="30" t="n">
        <x:f>IF(E5="","",FLOOR((E5*'Price rules'!$B$5),'Price rules'!$B$9)+IF(MOD((E5*'Price rules'!$B$5),'Price rules'!$B$9)&lt;'Price rules'!$B$10,0,'Price rules'!$B$9))</x:f>
        <x:v>170</x:v>
      </x:c>
      <x:c r="G5" s="30" t="n">
        <x:f>IF(E5="","",FLOOR((E5*'Price rules'!$B$7),'Price rules'!$B$9)+IF(MOD((E5*'Price rules'!$B$7),'Price rules'!$B$9)&lt;'Price rules'!$B$10,0,'Price rules'!$B$9))</x:f>
        <x:v>215</x:v>
      </x:c>
      <x:c r="H5" s="30" t="n">
        <x:f>IF(E5="","",FLOOR((E5*'Price rules'!$B$8),'Price rules'!$B$9)+IF(MOD((E5*'Price rules'!$B$8),'Price rules'!$B$9)&lt;'Price rules'!$B$10,0,'Price rules'!$B$9))</x:f>
        <x:v>240</x:v>
      </x:c>
      <x:c r="I5" s="30" t="n">
        <x:v>1</x:v>
      </x:c>
      <x:c r="J5" s="30" t="n">
        <x:v>2</x:v>
      </x:c>
      <x:c r="K5" s="32" t="n">
        <x:v>0.95</x:v>
      </x:c>
      <x:c r="L5" s="32" t="n">
        <x:v>32</x:v>
      </x:c>
      <x:c r="M5" s="25" t="str">
        <x:v>local</x:v>
      </x:c>
      <x:c r="N5" s="25" t="str">
        <x:v>land</x:v>
      </x:c>
      <x:c r="O5" s="25" t="str">
        <x:v>Throws inexpensive piercing darts. Its paths specialize in bouncing projectiles, temporary transformations, and long-range critical hits.</x:v>
      </x:c>
      <x:c r="P5" s="25" t="str">
        <x:v>Pierce is the number of separate hits available to one dart, not damage per hit.</x:v>
      </x:c>
      <x:c r="Q5" s="25" t="str">
        <x:v>requires_upgrade_or_external_help</x:v>
      </x:c>
      <x:c r="R5" s="25" t="str">
        <x:v>splash</x:v>
      </x:c>
      <x:c r="S5" s="25" t="str">
        <x:v>support</x:v>
      </x:c>
      <x:c r="T5" s="25" t="str">
        <x:v>sniper</x:v>
      </x:c>
      <x:c r="U5" s="25" t="str">
        <x:v>https://raw.githubusercontent.com/Btd6ModHelper/btd6-game-data/main/Towers/DartMonkey/DartMonkey.json</x:v>
      </x:c>
      <x:c r="V5" s="25" t="str">
        <x:v>https://raw.githubusercontent.com/hemisemidemipresent/cyberquincy/master/jsons/costs.json</x:v>
      </x:c>
      <x:c r="W5" s="25" t="str">
        <x:v>https://www.bloonswiki.com/Dart_Monkey_(BTD6)</x:v>
      </x:c>
    </x:row>
    <x:row r="6" ht="98" customHeight="1">
      <x:c r="A6" s="25" t="str">
        <x:v>Boomerang Monkey</x:v>
      </x:c>
      <x:c r="B6" s="25" t="str">
        <x:v>Primary</x:v>
      </x:c>
      <x:c r="C6" s="25" t="str">
        <x:v>splash</x:v>
      </x:c>
      <x:c r="D6" s="25" t="str">
        <x:v>basic_dps</x:v>
      </x:c>
      <x:c r="E6" s="30" t="n">
        <x:v>315</x:v>
      </x:c>
      <x:c r="F6" s="30" t="n">
        <x:f>IF(E6="","",FLOOR((E6*'Price rules'!$B$5),'Price rules'!$B$9)+IF(MOD((E6*'Price rules'!$B$5),'Price rules'!$B$9)&lt;'Price rules'!$B$10,0,'Price rules'!$B$9))</x:f>
        <x:v>265</x:v>
      </x:c>
      <x:c r="G6" s="30" t="n">
        <x:f>IF(E6="","",FLOOR((E6*'Price rules'!$B$7),'Price rules'!$B$9)+IF(MOD((E6*'Price rules'!$B$7),'Price rules'!$B$9)&lt;'Price rules'!$B$10,0,'Price rules'!$B$9))</x:f>
        <x:v>340</x:v>
      </x:c>
      <x:c r="H6" s="30" t="n">
        <x:f>IF(E6="","",FLOOR((E6*'Price rules'!$B$8),'Price rules'!$B$9)+IF(MOD((E6*'Price rules'!$B$8),'Price rules'!$B$9)&lt;'Price rules'!$B$10,0,'Price rules'!$B$9))</x:f>
        <x:v>380</x:v>
      </x:c>
      <x:c r="I6" s="30" t="n">
        <x:v>1</x:v>
      </x:c>
      <x:c r="J6" s="30" t="n">
        <x:v>4</x:v>
      </x:c>
      <x:c r="K6" s="32" t="n">
        <x:v>1.2</x:v>
      </x:c>
      <x:c r="L6" s="32" t="n">
        <x:v>43</x:v>
      </x:c>
      <x:c r="M6" s="25" t="str">
        <x:v>local</x:v>
      </x:c>
      <x:c r="N6" s="25" t="str">
        <x:v>land</x:v>
      </x:c>
      <x:c r="O6" s="25" t="str">
        <x:v>Throws returning projectiles that can hit several targets. Later paths favor ricochets, fast attacks, or MOAB-class knockback.</x:v>
      </x:c>
      <x:c r="P6" s="25" t="str">
        <x:v>Values describe the primary unmodified base attack. Upgrades and buffs can alter them.</x:v>
      </x:c>
      <x:c r="Q6" s="25" t="str">
        <x:v>requires_upgrade_or_external_help</x:v>
      </x:c>
      <x:c r="R6" s="25" t="str">
        <x:v>splash</x:v>
      </x:c>
      <x:c r="S6" s="25" t="str">
        <x:v>rapid_fire</x:v>
      </x:c>
      <x:c r="T6" s="25" t="str">
        <x:v>slow</x:v>
      </x:c>
      <x:c r="U6" s="25" t="str">
        <x:v>https://raw.githubusercontent.com/Btd6ModHelper/btd6-game-data/main/Towers/BoomerangMonkey/BoomerangMonkey.json</x:v>
      </x:c>
      <x:c r="V6" s="25" t="str">
        <x:v>https://raw.githubusercontent.com/hemisemidemipresent/cyberquincy/master/jsons/costs.json</x:v>
      </x:c>
      <x:c r="W6" s="25" t="str">
        <x:v>https://www.bloonswiki.com/Boomerang_Monkey_(BTD6)</x:v>
      </x:c>
    </x:row>
    <x:row r="7" ht="98" customHeight="1">
      <x:c r="A7" s="25" t="str">
        <x:v>Bomb Shooter</x:v>
      </x:c>
      <x:c r="B7" s="25" t="str">
        <x:v>Primary</x:v>
      </x:c>
      <x:c r="C7" s="25" t="str">
        <x:v>splash</x:v>
      </x:c>
      <x:c r="D7" s="25" t="str">
        <x:v>splash</x:v>
      </x:c>
      <x:c r="E7" s="30" t="n">
        <x:v>375</x:v>
      </x:c>
      <x:c r="F7" s="30" t="n">
        <x:f>IF(E7="","",FLOOR((E7*'Price rules'!$B$5),'Price rules'!$B$9)+IF(MOD((E7*'Price rules'!$B$5),'Price rules'!$B$9)&lt;'Price rules'!$B$10,0,'Price rules'!$B$9))</x:f>
        <x:v>320</x:v>
      </x:c>
      <x:c r="G7" s="30" t="n">
        <x:f>IF(E7="","",FLOOR((E7*'Price rules'!$B$7),'Price rules'!$B$9)+IF(MOD((E7*'Price rules'!$B$7),'Price rules'!$B$9)&lt;'Price rules'!$B$10,0,'Price rules'!$B$9))</x:f>
        <x:v>405</x:v>
      </x:c>
      <x:c r="H7" s="30" t="n">
        <x:f>IF(E7="","",FLOOR((E7*'Price rules'!$B$8),'Price rules'!$B$9)+IF(MOD((E7*'Price rules'!$B$8),'Price rules'!$B$9)&lt;'Price rules'!$B$10,0,'Price rules'!$B$9))</x:f>
        <x:v>450</x:v>
      </x:c>
      <x:c r="I7" s="30" t="n">
        <x:v>1</x:v>
      </x:c>
      <x:c r="J7" s="30" t="n">
        <x:v>22</x:v>
      </x:c>
      <x:c r="K7" s="32" t="n">
        <x:v>1.5</x:v>
      </x:c>
      <x:c r="L7" s="32" t="n">
        <x:v>40</x:v>
      </x:c>
      <x:c r="M7" s="25" t="str">
        <x:v>local</x:v>
      </x:c>
      <x:c r="N7" s="25" t="str">
        <x:v>land</x:v>
      </x:c>
      <x:c r="O7" s="25" t="str">
        <x:v>Launches bombs that damage groups. Upgrades add stuns, anti-MOAB missiles, or repeated cluster explosions.</x:v>
      </x:c>
      <x:c r="P7" s="25" t="str">
        <x:v>The bomb carrier has one pierce; the explosion has 22. These are separate projectile components.</x:v>
      </x:c>
      <x:c r="Q7" s="25" t="str">
        <x:v>requires_upgrade_or_external_help</x:v>
      </x:c>
      <x:c r="R7" s="25" t="str">
        <x:v>status</x:v>
      </x:c>
      <x:c r="S7" s="25" t="str">
        <x:v>tank_killer</x:v>
      </x:c>
      <x:c r="T7" s="25" t="str">
        <x:v>splash</x:v>
      </x:c>
      <x:c r="U7" s="25" t="str">
        <x:v>https://raw.githubusercontent.com/Btd6ModHelper/btd6-game-data/main/Towers/BombShooter/BombShooter.json</x:v>
      </x:c>
      <x:c r="V7" s="25" t="str">
        <x:v>https://raw.githubusercontent.com/hemisemidemipresent/cyberquincy/master/jsons/costs.json</x:v>
      </x:c>
      <x:c r="W7" s="25" t="str">
        <x:v>https://www.bloonswiki.com/Bomb_Shooter_(BTD6)</x:v>
      </x:c>
    </x:row>
    <x:row r="8" ht="98" customHeight="1">
      <x:c r="A8" s="25" t="str">
        <x:v>Tack Shooter</x:v>
      </x:c>
      <x:c r="B8" s="25" t="str">
        <x:v>Primary</x:v>
      </x:c>
      <x:c r="C8" s="25" t="str">
        <x:v>rapid_fire</x:v>
      </x:c>
      <x:c r="D8" s="25" t="str">
        <x:v>splash</x:v>
      </x:c>
      <x:c r="E8" s="30" t="n">
        <x:v>260</x:v>
      </x:c>
      <x:c r="F8" s="30" t="n">
        <x:f>IF(E8="","",FLOOR((E8*'Price rules'!$B$5),'Price rules'!$B$9)+IF(MOD((E8*'Price rules'!$B$5),'Price rules'!$B$9)&lt;'Price rules'!$B$10,0,'Price rules'!$B$9))</x:f>
        <x:v>220</x:v>
      </x:c>
      <x:c r="G8" s="30" t="n">
        <x:f>IF(E8="","",FLOOR((E8*'Price rules'!$B$7),'Price rules'!$B$9)+IF(MOD((E8*'Price rules'!$B$7),'Price rules'!$B$9)&lt;'Price rules'!$B$10,0,'Price rules'!$B$9))</x:f>
        <x:v>280</x:v>
      </x:c>
      <x:c r="H8" s="30" t="n">
        <x:f>IF(E8="","",FLOOR((E8*'Price rules'!$B$8),'Price rules'!$B$9)+IF(MOD((E8*'Price rules'!$B$8),'Price rules'!$B$9)&lt;'Price rules'!$B$10,0,'Price rules'!$B$9))</x:f>
        <x:v>310</x:v>
      </x:c>
      <x:c r="I8" s="30" t="n">
        <x:v>1</x:v>
      </x:c>
      <x:c r="J8" s="30" t="n">
        <x:v>1</x:v>
      </x:c>
      <x:c r="K8" s="32" t="n">
        <x:v>1.12</x:v>
      </x:c>
      <x:c r="L8" s="32" t="n">
        <x:v>23</x:v>
      </x:c>
      <x:c r="M8" s="25" t="str">
        <x:v>local</x:v>
      </x:c>
      <x:c r="N8" s="25" t="str">
        <x:v>land</x:v>
      </x:c>
      <x:c r="O8" s="25" t="str">
        <x:v>Fires radial volleys around its position. Paths add circular fire, activated blade barrages, or much denser tack fire.</x:v>
      </x:c>
      <x:c r="P8" s="25" t="str">
        <x:v>A base volley contains eight tacks. Damage and pierce are per tack, not per volley.</x:v>
      </x:c>
      <x:c r="Q8" s="25" t="str">
        <x:v>requires_upgrade_or_external_help</x:v>
      </x:c>
      <x:c r="R8" s="25" t="str">
        <x:v>splash</x:v>
      </x:c>
      <x:c r="S8" s="25" t="str">
        <x:v>splash</x:v>
      </x:c>
      <x:c r="T8" s="25" t="str">
        <x:v>rapid_fire</x:v>
      </x:c>
      <x:c r="U8" s="25" t="str">
        <x:v>https://raw.githubusercontent.com/Btd6ModHelper/btd6-game-data/main/Towers/TackShooter/TackShooter.json</x:v>
      </x:c>
      <x:c r="V8" s="25" t="str">
        <x:v>https://raw.githubusercontent.com/hemisemidemipresent/cyberquincy/master/jsons/costs.json</x:v>
      </x:c>
      <x:c r="W8" s="25" t="str">
        <x:v>https://www.bloonswiki.com/Tack_Shooter_(BTD6)</x:v>
      </x:c>
    </x:row>
    <x:row r="9" ht="98" customHeight="1">
      <x:c r="A9" s="25" t="str">
        <x:v>Ice Monkey</x:v>
      </x:c>
      <x:c r="B9" s="25" t="str">
        <x:v>Primary</x:v>
      </x:c>
      <x:c r="C9" s="25" t="str">
        <x:v>status</x:v>
      </x:c>
      <x:c r="D9" s="25" t="str">
        <x:v>status</x:v>
      </x:c>
      <x:c r="E9" s="30" t="n">
        <x:v>400</x:v>
      </x:c>
      <x:c r="F9" s="30" t="n">
        <x:f>IF(E9="","",FLOOR((E9*'Price rules'!$B$5),'Price rules'!$B$9)+IF(MOD((E9*'Price rules'!$B$5),'Price rules'!$B$9)&lt;'Price rules'!$B$10,0,'Price rules'!$B$9))</x:f>
        <x:v>340</x:v>
      </x:c>
      <x:c r="G9" s="30" t="n">
        <x:f>IF(E9="","",FLOOR((E9*'Price rules'!$B$7),'Price rules'!$B$9)+IF(MOD((E9*'Price rules'!$B$7),'Price rules'!$B$9)&lt;'Price rules'!$B$10,0,'Price rules'!$B$9))</x:f>
        <x:v>430</x:v>
      </x:c>
      <x:c r="H9" s="30" t="n">
        <x:f>IF(E9="","",FLOOR((E9*'Price rules'!$B$8),'Price rules'!$B$9)+IF(MOD((E9*'Price rules'!$B$8),'Price rules'!$B$9)&lt;'Price rules'!$B$10,0,'Price rules'!$B$9))</x:f>
        <x:v>480</x:v>
      </x:c>
      <x:c r="I9" s="30" t="n">
        <x:v>1</x:v>
      </x:c>
      <x:c r="J9" s="30" t="n">
        <x:v>40</x:v>
      </x:c>
      <x:c r="K9" s="32" t="n">
        <x:v>2.4</x:v>
      </x:c>
      <x:c r="L9" s="32" t="n">
        <x:v>20</x:v>
      </x:c>
      <x:c r="M9" s="25" t="str">
        <x:v>local</x:v>
      </x:c>
      <x:c r="N9" s="25" t="str">
        <x:v>land</x:v>
      </x:c>
      <x:c r="O9" s="25" t="str">
        <x:v>Damages and freezes nearby ordinary Bloons. Upgrades add damage vulnerability, wider control, or anti-MOAB ice attacks.</x:v>
      </x:c>
      <x:c r="P9" s="25" t="str">
        <x:v>Base freeze lasts 1.5 seconds, with a 0.5 duration multiplier for Ceramic targets in the exported model. Not a universal MOAB freeze.</x:v>
      </x:c>
      <x:c r="Q9" s="25" t="str">
        <x:v>requires_upgrade_or_external_help</x:v>
      </x:c>
      <x:c r="R9" s="25" t="str">
        <x:v>status</x:v>
      </x:c>
      <x:c r="S9" s="25" t="str">
        <x:v>status</x:v>
      </x:c>
      <x:c r="T9" s="25" t="str">
        <x:v>slow</x:v>
      </x:c>
      <x:c r="U9" s="25" t="str">
        <x:v>https://raw.githubusercontent.com/Btd6ModHelper/btd6-game-data/main/Towers/IceMonkey/IceMonkey.json</x:v>
      </x:c>
      <x:c r="V9" s="25" t="str">
        <x:v>https://raw.githubusercontent.com/hemisemidemipresent/cyberquincy/master/jsons/costs.json</x:v>
      </x:c>
      <x:c r="W9" s="25" t="str">
        <x:v>https://www.bloonswiki.com/Ice_Monkey_(BTD6)</x:v>
      </x:c>
    </x:row>
    <x:row r="10" ht="98" customHeight="1">
      <x:c r="A10" s="25" t="str">
        <x:v>Glue Gunner</x:v>
      </x:c>
      <x:c r="B10" s="25" t="str">
        <x:v>Primary</x:v>
      </x:c>
      <x:c r="C10" s="25" t="str">
        <x:v>slow</x:v>
      </x:c>
      <x:c r="D10" s="25" t="str">
        <x:v>slow</x:v>
      </x:c>
      <x:c r="E10" s="30" t="n">
        <x:v>225</x:v>
      </x:c>
      <x:c r="F10" s="30" t="n">
        <x:f>IF(E10="","",FLOOR((E10*'Price rules'!$B$5),'Price rules'!$B$9)+IF(MOD((E10*'Price rules'!$B$5),'Price rules'!$B$9)&lt;'Price rules'!$B$10,0,'Price rules'!$B$9))</x:f>
        <x:v>190</x:v>
      </x:c>
      <x:c r="G10" s="30" t="n">
        <x:f>IF(E10="","",FLOOR((E10*'Price rules'!$B$7),'Price rules'!$B$9)+IF(MOD((E10*'Price rules'!$B$7),'Price rules'!$B$9)&lt;'Price rules'!$B$10,0,'Price rules'!$B$9))</x:f>
        <x:v>245</x:v>
      </x:c>
      <x:c r="H10" s="30" t="n">
        <x:f>IF(E10="","",FLOOR((E10*'Price rules'!$B$8),'Price rules'!$B$9)+IF(MOD((E10*'Price rules'!$B$8),'Price rules'!$B$9)&lt;'Price rules'!$B$10,0,'Price rules'!$B$9))</x:f>
        <x:v>270</x:v>
      </x:c>
      <x:c r="I10" s="30" t="n">
        <x:v>0</x:v>
      </x:c>
      <x:c r="J10" s="30" t="n">
        <x:v>1</x:v>
      </x:c>
      <x:c r="K10" s="32" t="n">
        <x:v>1</x:v>
      </x:c>
      <x:c r="L10" s="32" t="n">
        <x:v>46</x:v>
      </x:c>
      <x:c r="M10" s="25" t="str">
        <x:v>local</x:v>
      </x:c>
      <x:c r="N10" s="25" t="str">
        <x:v>land</x:v>
      </x:c>
      <x:c r="O10" s="25" t="str">
        <x:v>Shoots non-damaging slowing glue at base. Its paths add corrosion, global damage-amplifying glue, or stronger crowd control.</x:v>
      </x:c>
      <x:c r="P10" s="25" t="str">
        <x:v>Zero base damage is intentional. Corrosive damage requires an upgrade.</x:v>
      </x:c>
      <x:c r="Q10" s="25" t="str">
        <x:v>requires_upgrade_or_external_help</x:v>
      </x:c>
      <x:c r="R10" s="25" t="str">
        <x:v>status</x:v>
      </x:c>
      <x:c r="S10" s="25" t="str">
        <x:v>support</x:v>
      </x:c>
      <x:c r="T10" s="25" t="str">
        <x:v>slow</x:v>
      </x:c>
      <x:c r="U10" s="25" t="str">
        <x:v>https://raw.githubusercontent.com/Btd6ModHelper/btd6-game-data/main/Towers/GlueGunner/GlueGunner.json</x:v>
      </x:c>
      <x:c r="V10" s="25" t="str">
        <x:v>https://raw.githubusercontent.com/hemisemidemipresent/cyberquincy/master/jsons/costs.json</x:v>
      </x:c>
      <x:c r="W10" s="25" t="str">
        <x:v>https://www.bloonswiki.com/Glue_Gunner_(BTD6)</x:v>
      </x:c>
    </x:row>
    <x:row r="11" ht="98" customHeight="1">
      <x:c r="A11" s="25" t="str">
        <x:v>Desperado</x:v>
      </x:c>
      <x:c r="B11" s="25" t="str">
        <x:v>Primary</x:v>
      </x:c>
      <x:c r="C11" s="25" t="str">
        <x:v>sniper</x:v>
      </x:c>
      <x:c r="D11" s="25" t="str">
        <x:v>basic_dps</x:v>
      </x:c>
      <x:c r="E11" s="30" t="n">
        <x:v>300</x:v>
      </x:c>
      <x:c r="F11" s="30" t="n">
        <x:f>IF(E11="","",FLOOR((E11*'Price rules'!$B$5),'Price rules'!$B$9)+IF(MOD((E11*'Price rules'!$B$5),'Price rules'!$B$9)&lt;'Price rules'!$B$10,0,'Price rules'!$B$9))</x:f>
        <x:v>255</x:v>
      </x:c>
      <x:c r="G11" s="30" t="n">
        <x:f>IF(E11="","",FLOOR((E11*'Price rules'!$B$7),'Price rules'!$B$9)+IF(MOD((E11*'Price rules'!$B$7),'Price rules'!$B$9)&lt;'Price rules'!$B$10,0,'Price rules'!$B$9))</x:f>
        <x:v>325</x:v>
      </x:c>
      <x:c r="H11" s="30" t="n">
        <x:f>IF(E11="","",FLOOR((E11*'Price rules'!$B$8),'Price rules'!$B$9)+IF(MOD((E11*'Price rules'!$B$8),'Price rules'!$B$9)&lt;'Price rules'!$B$10,0,'Price rules'!$B$9))</x:f>
        <x:v>360</x:v>
      </x:c>
      <x:c r="I11" s="30" t="n">
        <x:v>1</x:v>
      </x:c>
      <x:c r="J11" s="30" t="n">
        <x:v>1</x:v>
      </x:c>
      <x:c r="K11" s="32" t="n">
        <x:v>1.2</x:v>
      </x:c>
      <x:c r="L11" s="32" t="n">
        <x:v>60</x:v>
      </x:c>
      <x:c r="M11" s="25" t="str">
        <x:v>local</x:v>
      </x:c>
      <x:c r="N11" s="25" t="str">
        <x:v>land</x:v>
      </x:c>
      <x:c r="O11" s="25" t="str">
        <x:v>Fires paired pistol shots. Upgrades specialize in revolvers, a long-range rifle with support abilities, or close-range shotgun attacks.</x:v>
      </x:c>
      <x:c r="P11" s="25" t="str">
        <x:v>Two shots are spaced 0.1 seconds apart within a burst. The 1.2-second value is the weapon cycle, not the gap between the two shots.</x:v>
      </x:c>
      <x:c r="Q11" s="25" t="str">
        <x:v>requires_upgrade_or_external_help</x:v>
      </x:c>
      <x:c r="R11" s="25" t="str">
        <x:v>rapid_fire</x:v>
      </x:c>
      <x:c r="S11" s="25" t="str">
        <x:v>sniper</x:v>
      </x:c>
      <x:c r="T11" s="25" t="str">
        <x:v>splash</x:v>
      </x:c>
      <x:c r="U11" s="25" t="str">
        <x:v>https://raw.githubusercontent.com/Btd6ModHelper/btd6-game-data/main/Towers/Desperado/Desperado.json</x:v>
      </x:c>
      <x:c r="V11" s="25" t="str">
        <x:v>https://raw.githubusercontent.com/hemisemidemipresent/cyberquincy/master/jsons/costs.json</x:v>
      </x:c>
      <x:c r="W11" s="25" t="str">
        <x:v>https://www.bloonswiki.com/Desperado_(BTD6)</x:v>
      </x:c>
    </x:row>
    <x:row r="12" ht="98" customHeight="1">
      <x:c r="A12" s="25" t="str">
        <x:v>Sniper Monkey</x:v>
      </x:c>
      <x:c r="B12" s="25" t="str">
        <x:v>Military</x:v>
      </x:c>
      <x:c r="C12" s="25" t="str">
        <x:v>sniper</x:v>
      </x:c>
      <x:c r="D12" s="25" t="str">
        <x:v>sniper</x:v>
      </x:c>
      <x:c r="E12" s="30" t="n">
        <x:v>350</x:v>
      </x:c>
      <x:c r="F12" s="30" t="n">
        <x:f>IF(E12="","",FLOOR((E12*'Price rules'!$B$5),'Price rules'!$B$9)+IF(MOD((E12*'Price rules'!$B$5),'Price rules'!$B$9)&lt;'Price rules'!$B$10,0,'Price rules'!$B$9))</x:f>
        <x:v>295</x:v>
      </x:c>
      <x:c r="G12" s="30" t="n">
        <x:f>IF(E12="","",FLOOR((E12*'Price rules'!$B$7),'Price rules'!$B$9)+IF(MOD((E12*'Price rules'!$B$7),'Price rules'!$B$9)&lt;'Price rules'!$B$10,0,'Price rules'!$B$9))</x:f>
        <x:v>380</x:v>
      </x:c>
      <x:c r="H12" s="30" t="n">
        <x:f>IF(E12="","",FLOOR((E12*'Price rules'!$B$8),'Price rules'!$B$9)+IF(MOD((E12*'Price rules'!$B$8),'Price rules'!$B$9)&lt;'Price rules'!$B$10,0,'Price rules'!$B$9))</x:f>
        <x:v>420</x:v>
      </x:c>
      <x:c r="I12" s="30" t="n">
        <x:v>2</x:v>
      </x:c>
      <x:c r="J12" s="30" t="n">
        <x:v>1</x:v>
      </x:c>
      <x:c r="K12" s="32" t="n">
        <x:v>1.59</x:v>
      </x:c>
      <x:c r="L12" s="32"/>
      <x:c r="M12" s="25" t="str">
        <x:v>global_line_of_sight</x:v>
      </x:c>
      <x:c r="N12" s="25" t="str">
        <x:v>land</x:v>
      </x:c>
      <x:c r="O12" s="25" t="str">
        <x:v>Shoots individual targets across the map when line of sight permits. Paths add MOAB control, bouncing shots and income, or automatic fire.</x:v>
      </x:c>
      <x:c r="P12" s="25" t="str">
        <x:v>The export uses an attack-range sentinel of 9,999,999 and a separate local radius of 20. Neither should be interpreted as a conventional map-distance weapon limit.</x:v>
      </x:c>
      <x:c r="Q12" s="25" t="str">
        <x:v>requires_upgrade_or_external_help</x:v>
      </x:c>
      <x:c r="R12" s="25" t="str">
        <x:v>status</x:v>
      </x:c>
      <x:c r="S12" s="25" t="str">
        <x:v>economy</x:v>
      </x:c>
      <x:c r="T12" s="25" t="str">
        <x:v>rapid_fire</x:v>
      </x:c>
      <x:c r="U12" s="25" t="str">
        <x:v>https://raw.githubusercontent.com/Btd6ModHelper/btd6-game-data/main/Towers/SniperMonkey/SniperMonkey.json</x:v>
      </x:c>
      <x:c r="V12" s="25" t="str">
        <x:v>https://raw.githubusercontent.com/hemisemidemipresent/cyberquincy/master/jsons/costs.json</x:v>
      </x:c>
      <x:c r="W12" s="25" t="str">
        <x:v>https://www.bloonswiki.com/Sniper_Monkey_(BTD6)</x:v>
      </x:c>
    </x:row>
    <x:row r="13" ht="98" customHeight="1">
      <x:c r="A13" s="25" t="str">
        <x:v>Monkey Sub</x:v>
      </x:c>
      <x:c r="B13" s="25" t="str">
        <x:v>Military</x:v>
      </x:c>
      <x:c r="C13" s="25" t="str">
        <x:v>basic_dps</x:v>
      </x:c>
      <x:c r="D13" s="25" t="str">
        <x:v>basic_dps</x:v>
      </x:c>
      <x:c r="E13" s="30" t="n">
        <x:v>325</x:v>
      </x:c>
      <x:c r="F13" s="30" t="n">
        <x:f>IF(E13="","",FLOOR((E13*'Price rules'!$B$5),'Price rules'!$B$9)+IF(MOD((E13*'Price rules'!$B$5),'Price rules'!$B$9)&lt;'Price rules'!$B$10,0,'Price rules'!$B$9))</x:f>
        <x:v>275</x:v>
      </x:c>
      <x:c r="G13" s="30" t="n">
        <x:f>IF(E13="","",FLOOR((E13*'Price rules'!$B$7),'Price rules'!$B$9)+IF(MOD((E13*'Price rules'!$B$7),'Price rules'!$B$9)&lt;'Price rules'!$B$10,0,'Price rules'!$B$9))</x:f>
        <x:v>350</x:v>
      </x:c>
      <x:c r="H13" s="30" t="n">
        <x:f>IF(E13="","",FLOOR((E13*'Price rules'!$B$8),'Price rules'!$B$9)+IF(MOD((E13*'Price rules'!$B$8),'Price rules'!$B$9)&lt;'Price rules'!$B$10,0,'Price rules'!$B$9))</x:f>
        <x:v>390</x:v>
      </x:c>
      <x:c r="I13" s="30" t="n">
        <x:v>1</x:v>
      </x:c>
      <x:c r="J13" s="30" t="n">
        <x:v>2</x:v>
      </x:c>
      <x:c r="K13" s="32" t="n">
        <x:v>0.75</x:v>
      </x:c>
      <x:c r="L13" s="32" t="n">
        <x:v>42</x:v>
      </x:c>
      <x:c r="M13" s="25" t="str">
        <x:v>local</x:v>
      </x:c>
      <x:c r="N13" s="25" t="str">
        <x:v>water</x:v>
      </x:c>
      <x:c r="O13" s="25" t="str">
        <x:v>Fires homing darts from water. Upgrades add shared targeting range, submerged support, missiles, or faster dart attacks.</x:v>
      </x:c>
      <x:c r="P13" s="25" t="str">
        <x:v>Values describe the primary unmodified base attack. Upgrades and buffs can alter them.</x:v>
      </x:c>
      <x:c r="Q13" s="25" t="str">
        <x:v>requires_upgrade_or_external_help</x:v>
      </x:c>
      <x:c r="R13" s="25" t="str">
        <x:v>support</x:v>
      </x:c>
      <x:c r="S13" s="25" t="str">
        <x:v>tank_killer</x:v>
      </x:c>
      <x:c r="T13" s="25" t="str">
        <x:v>rapid_fire</x:v>
      </x:c>
      <x:c r="U13" s="25" t="str">
        <x:v>https://raw.githubusercontent.com/Btd6ModHelper/btd6-game-data/main/Towers/MonkeySub/MonkeySub.json</x:v>
      </x:c>
      <x:c r="V13" s="25" t="str">
        <x:v>https://raw.githubusercontent.com/hemisemidemipresent/cyberquincy/master/jsons/costs.json</x:v>
      </x:c>
      <x:c r="W13" s="25" t="str">
        <x:v>https://www.bloonswiki.com/Monkey_Sub_(BTD6)</x:v>
      </x:c>
    </x:row>
    <x:row r="14" ht="98" customHeight="1">
      <x:c r="A14" s="25" t="str">
        <x:v>Monkey Buccaneer</x:v>
      </x:c>
      <x:c r="B14" s="25" t="str">
        <x:v>Military</x:v>
      </x:c>
      <x:c r="C14" s="25" t="str">
        <x:v>basic_dps</x:v>
      </x:c>
      <x:c r="D14" s="25" t="str">
        <x:v>basic_dps</x:v>
      </x:c>
      <x:c r="E14" s="30" t="n">
        <x:v>400</x:v>
      </x:c>
      <x:c r="F14" s="30" t="n">
        <x:f>IF(E14="","",FLOOR((E14*'Price rules'!$B$5),'Price rules'!$B$9)+IF(MOD((E14*'Price rules'!$B$5),'Price rules'!$B$9)&lt;'Price rules'!$B$10,0,'Price rules'!$B$9))</x:f>
        <x:v>340</x:v>
      </x:c>
      <x:c r="G14" s="30" t="n">
        <x:f>IF(E14="","",FLOOR((E14*'Price rules'!$B$7),'Price rules'!$B$9)+IF(MOD((E14*'Price rules'!$B$7),'Price rules'!$B$9)&lt;'Price rules'!$B$10,0,'Price rules'!$B$9))</x:f>
        <x:v>430</x:v>
      </x:c>
      <x:c r="H14" s="30" t="n">
        <x:f>IF(E14="","",FLOOR((E14*'Price rules'!$B$8),'Price rules'!$B$9)+IF(MOD((E14*'Price rules'!$B$8),'Price rules'!$B$9)&lt;'Price rules'!$B$10,0,'Price rules'!$B$9))</x:f>
        <x:v>480</x:v>
      </x:c>
      <x:c r="I14" s="30" t="n">
        <x:v>1</x:v>
      </x:c>
      <x:c r="J14" s="30" t="n">
        <x:v>4</x:v>
      </x:c>
      <x:c r="K14" s="32"/>
      <x:c r="L14" s="32" t="n">
        <x:v>60</x:v>
      </x:c>
      <x:c r="M14" s="25" t="str">
        <x:v>local</x:v>
      </x:c>
      <x:c r="N14" s="25" t="str">
        <x:v>water</x:v>
      </x:c>
      <x:c r="O14" s="25" t="str">
        <x:v>Fires from a ship. Its paths add aircraft, cannon and harpoon attacks, or round-end trade income.</x:v>
      </x:c>
      <x:c r="P14" s="25" t="str">
        <x:v>Two broadside weapons share firing conditions. The secondary raw rate of 0.05 seconds is not the effective sustained attack interval; the combined interval is left unverified.</x:v>
      </x:c>
      <x:c r="Q14" s="25" t="str">
        <x:v>requires_upgrade_or_external_help</x:v>
      </x:c>
      <x:c r="R14" s="25" t="str">
        <x:v>summoner</x:v>
      </x:c>
      <x:c r="S14" s="25" t="str">
        <x:v>tank_killer</x:v>
      </x:c>
      <x:c r="T14" s="25" t="str">
        <x:v>economy</x:v>
      </x:c>
      <x:c r="U14" s="25" t="str">
        <x:v>https://raw.githubusercontent.com/Btd6ModHelper/btd6-game-data/main/Towers/MonkeyBuccaneer/MonkeyBuccaneer.json</x:v>
      </x:c>
      <x:c r="V14" s="25" t="str">
        <x:v>https://raw.githubusercontent.com/hemisemidemipresent/cyberquincy/master/jsons/costs.json</x:v>
      </x:c>
      <x:c r="W14" s="25" t="str">
        <x:v>https://www.bloonswiki.com/Monkey_Buccaneer_(BTD6)</x:v>
      </x:c>
    </x:row>
    <x:row r="15" ht="98" customHeight="1">
      <x:c r="A15" s="25" t="str">
        <x:v>Monkey Ace</x:v>
      </x:c>
      <x:c r="B15" s="25" t="str">
        <x:v>Military</x:v>
      </x:c>
      <x:c r="C15" s="25" t="str">
        <x:v>rapid_fire</x:v>
      </x:c>
      <x:c r="D15" s="25" t="str">
        <x:v>splash</x:v>
      </x:c>
      <x:c r="E15" s="30" t="n">
        <x:v>800</x:v>
      </x:c>
      <x:c r="F15" s="30" t="n">
        <x:f>IF(E15="","",FLOOR((E15*'Price rules'!$B$5),'Price rules'!$B$9)+IF(MOD((E15*'Price rules'!$B$5),'Price rules'!$B$9)&lt;'Price rules'!$B$10,0,'Price rules'!$B$9))</x:f>
        <x:v>680</x:v>
      </x:c>
      <x:c r="G15" s="30" t="n">
        <x:f>IF(E15="","",FLOOR((E15*'Price rules'!$B$7),'Price rules'!$B$9)+IF(MOD((E15*'Price rules'!$B$7),'Price rules'!$B$9)&lt;'Price rules'!$B$10,0,'Price rules'!$B$9))</x:f>
        <x:v>865</x:v>
      </x:c>
      <x:c r="H15" s="30" t="n">
        <x:f>IF(E15="","",FLOOR((E15*'Price rules'!$B$8),'Price rules'!$B$9)+IF(MOD((E15*'Price rules'!$B$8),'Price rules'!$B$9)&lt;'Price rules'!$B$10,0,'Price rules'!$B$9))</x:f>
        <x:v>960</x:v>
      </x:c>
      <x:c r="I15" s="30" t="n">
        <x:v>1</x:v>
      </x:c>
      <x:c r="J15" s="30" t="n">
        <x:v>5</x:v>
      </x:c>
      <x:c r="K15" s="32" t="n">
        <x:v>1.68</x:v>
      </x:c>
      <x:c r="L15" s="32" t="n">
        <x:v>22</x:v>
      </x:c>
      <x:c r="M15" s="25" t="str">
        <x:v>moving_aircraft_pattern</x:v>
      </x:c>
      <x:c r="N15" s="25" t="str">
        <x:v>land_aircraft</x:v>
      </x:c>
      <x:c r="O15" s="25" t="str">
        <x:v>A plane follows a flight pattern and fires darts around itself. Paths add anti-MOAB weapons, bombs, or targeted high-volume fire.</x:v>
      </x:c>
      <x:c r="P15" s="25" t="str">
        <x:v>The radius of 22 is a local model parameter. Aircraft movement and projectile travel determine map coverage.</x:v>
      </x:c>
      <x:c r="Q15" s="25" t="str">
        <x:v>requires_upgrade_or_external_help</x:v>
      </x:c>
      <x:c r="R15" s="25" t="str">
        <x:v>rapid_fire</x:v>
      </x:c>
      <x:c r="S15" s="25" t="str">
        <x:v>splash</x:v>
      </x:c>
      <x:c r="T15" s="25" t="str">
        <x:v>rapid_fire</x:v>
      </x:c>
      <x:c r="U15" s="25" t="str">
        <x:v>https://raw.githubusercontent.com/Btd6ModHelper/btd6-game-data/main/Towers/MonkeyAce/MonkeyAce.json</x:v>
      </x:c>
      <x:c r="V15" s="25" t="str">
        <x:v>https://raw.githubusercontent.com/hemisemidemipresent/cyberquincy/master/jsons/costs.json</x:v>
      </x:c>
      <x:c r="W15" s="25" t="str">
        <x:v>https://www.bloonswiki.com/Monkey_Ace_(BTD6)</x:v>
      </x:c>
    </x:row>
    <x:row r="16" ht="98" customHeight="1">
      <x:c r="A16" s="25" t="str">
        <x:v>Heli Pilot</x:v>
      </x:c>
      <x:c r="B16" s="25" t="str">
        <x:v>Military</x:v>
      </x:c>
      <x:c r="C16" s="25" t="str">
        <x:v>rapid_fire</x:v>
      </x:c>
      <x:c r="D16" s="25" t="str">
        <x:v>basic_dps</x:v>
      </x:c>
      <x:c r="E16" s="30" t="n">
        <x:v>1500</x:v>
      </x:c>
      <x:c r="F16" s="30" t="n">
        <x:f>IF(E16="","",FLOOR((E16*'Price rules'!$B$5),'Price rules'!$B$9)+IF(MOD((E16*'Price rules'!$B$5),'Price rules'!$B$9)&lt;'Price rules'!$B$10,0,'Price rules'!$B$9))</x:f>
        <x:v>1275</x:v>
      </x:c>
      <x:c r="G16" s="30" t="n">
        <x:f>IF(E16="","",FLOOR((E16*'Price rules'!$B$7),'Price rules'!$B$9)+IF(MOD((E16*'Price rules'!$B$7),'Price rules'!$B$9)&lt;'Price rules'!$B$10,0,'Price rules'!$B$9))</x:f>
        <x:v>1620</x:v>
      </x:c>
      <x:c r="H16" s="30" t="n">
        <x:f>IF(E16="","",FLOOR((E16*'Price rules'!$B$8),'Price rules'!$B$9)+IF(MOD((E16*'Price rules'!$B$8),'Price rules'!$B$9)&lt;'Price rules'!$B$10,0,'Price rules'!$B$9))</x:f>
        <x:v>1800</x:v>
      </x:c>
      <x:c r="I16" s="30" t="n">
        <x:v>1</x:v>
      </x:c>
      <x:c r="J16" s="30" t="n">
        <x:v>3</x:v>
      </x:c>
      <x:c r="K16" s="32" t="n">
        <x:v>0.57</x:v>
      </x:c>
      <x:c r="L16" s="32" t="n">
        <x:v>42</x:v>
      </x:c>
      <x:c r="M16" s="25" t="str">
        <x:v>moving_aircraft_local_attack</x:v>
      </x:c>
      <x:c r="N16" s="25" t="str">
        <x:v>land_aircraft</x:v>
      </x:c>
      <x:c r="O16" s="25" t="str">
        <x:v>A movable helicopter attacks near its current position. Paths add heavy weapons, transport and knockback, or supporting helicopters.</x:v>
      </x:c>
      <x:c r="P16" s="25" t="str">
        <x:v>Range is measured around the helicopter, not the helipad.</x:v>
      </x:c>
      <x:c r="Q16" s="25" t="str">
        <x:v>requires_upgrade_or_external_help</x:v>
      </x:c>
      <x:c r="R16" s="25" t="str">
        <x:v>rapid_fire</x:v>
      </x:c>
      <x:c r="S16" s="25" t="str">
        <x:v>support</x:v>
      </x:c>
      <x:c r="T16" s="25" t="str">
        <x:v>summoner</x:v>
      </x:c>
      <x:c r="U16" s="25" t="str">
        <x:v>https://raw.githubusercontent.com/Btd6ModHelper/btd6-game-data/main/Towers/HeliPilot/HeliPilot.json</x:v>
      </x:c>
      <x:c r="V16" s="25" t="str">
        <x:v>https://raw.githubusercontent.com/hemisemidemipresent/cyberquincy/master/jsons/costs.json</x:v>
      </x:c>
      <x:c r="W16" s="25" t="str">
        <x:v>https://www.bloonswiki.com/Heli_Pilot_(BTD6)</x:v>
      </x:c>
    </x:row>
    <x:row r="17" ht="98" customHeight="1">
      <x:c r="A17" s="25" t="str">
        <x:v>Mortar Monkey</x:v>
      </x:c>
      <x:c r="B17" s="25" t="str">
        <x:v>Military</x:v>
      </x:c>
      <x:c r="C17" s="25" t="str">
        <x:v>splash</x:v>
      </x:c>
      <x:c r="D17" s="25" t="str">
        <x:v>splash</x:v>
      </x:c>
      <x:c r="E17" s="30" t="n">
        <x:v>600</x:v>
      </x:c>
      <x:c r="F17" s="30" t="n">
        <x:f>IF(E17="","",FLOOR((E17*'Price rules'!$B$5),'Price rules'!$B$9)+IF(MOD((E17*'Price rules'!$B$5),'Price rules'!$B$9)&lt;'Price rules'!$B$10,0,'Price rules'!$B$9))</x:f>
        <x:v>510</x:v>
      </x:c>
      <x:c r="G17" s="30" t="n">
        <x:f>IF(E17="","",FLOOR((E17*'Price rules'!$B$7),'Price rules'!$B$9)+IF(MOD((E17*'Price rules'!$B$7),'Price rules'!$B$9)&lt;'Price rules'!$B$10,0,'Price rules'!$B$9))</x:f>
        <x:v>650</x:v>
      </x:c>
      <x:c r="H17" s="30" t="n">
        <x:f>IF(E17="","",FLOOR((E17*'Price rules'!$B$8),'Price rules'!$B$9)+IF(MOD((E17*'Price rules'!$B$8),'Price rules'!$B$9)&lt;'Price rules'!$B$10,0,'Price rules'!$B$9))</x:f>
        <x:v>720</x:v>
      </x:c>
      <x:c r="I17" s="30" t="n">
        <x:v>2</x:v>
      </x:c>
      <x:c r="J17" s="30" t="n">
        <x:v>25</x:v>
      </x:c>
      <x:c r="K17" s="32" t="n">
        <x:v>2</x:v>
      </x:c>
      <x:c r="L17" s="32"/>
      <x:c r="M17" s="25" t="str">
        <x:v>global_selected_ground_point</x:v>
      </x:c>
      <x:c r="N17" s="25" t="str">
        <x:v>land</x:v>
      </x:c>
      <x:c r="O17" s="25" t="str">
        <x:v>Bombards a selected map position with area explosions. Paths add larger blasts, stuns and rapid bombardment, or property removal and burning.</x:v>
      </x:c>
      <x:c r="P17" s="25" t="str">
        <x:v>A separate local tower radius of 30 does not restrict the selected bombardment point. Damage refers to the explosion.</x:v>
      </x:c>
      <x:c r="Q17" s="25" t="str">
        <x:v>requires_upgrade_or_external_help</x:v>
      </x:c>
      <x:c r="R17" s="25" t="str">
        <x:v>splash</x:v>
      </x:c>
      <x:c r="S17" s="25" t="str">
        <x:v>status</x:v>
      </x:c>
      <x:c r="T17" s="25" t="str">
        <x:v>status</x:v>
      </x:c>
      <x:c r="U17" s="25" t="str">
        <x:v>https://raw.githubusercontent.com/Btd6ModHelper/btd6-game-data/main/Towers/MortarMonkey/MortarMonkey.json</x:v>
      </x:c>
      <x:c r="V17" s="25" t="str">
        <x:v>https://raw.githubusercontent.com/hemisemidemipresent/cyberquincy/master/jsons/costs.json</x:v>
      </x:c>
      <x:c r="W17" s="25" t="str">
        <x:v>https://www.bloonswiki.com/Mortar_Monkey_(BTD6)</x:v>
      </x:c>
    </x:row>
    <x:row r="18" ht="98" customHeight="1">
      <x:c r="A18" s="25" t="str">
        <x:v>Dartling Gunner</x:v>
      </x:c>
      <x:c r="B18" s="25" t="str">
        <x:v>Military</x:v>
      </x:c>
      <x:c r="C18" s="25" t="str">
        <x:v>rapid_fire</x:v>
      </x:c>
      <x:c r="D18" s="25" t="str">
        <x:v>rapid_fire</x:v>
      </x:c>
      <x:c r="E18" s="30" t="n">
        <x:v>850</x:v>
      </x:c>
      <x:c r="F18" s="30" t="n">
        <x:f>IF(E18="","",FLOOR((E18*'Price rules'!$B$5),'Price rules'!$B$9)+IF(MOD((E18*'Price rules'!$B$5),'Price rules'!$B$9)&lt;'Price rules'!$B$10,0,'Price rules'!$B$9))</x:f>
        <x:v>720</x:v>
      </x:c>
      <x:c r="G18" s="30" t="n">
        <x:f>IF(E18="","",FLOOR((E18*'Price rules'!$B$7),'Price rules'!$B$9)+IF(MOD((E18*'Price rules'!$B$7),'Price rules'!$B$9)&lt;'Price rules'!$B$10,0,'Price rules'!$B$9))</x:f>
        <x:v>920</x:v>
      </x:c>
      <x:c r="H18" s="30" t="n">
        <x:f>IF(E18="","",FLOOR((E18*'Price rules'!$B$8),'Price rules'!$B$9)+IF(MOD((E18*'Price rules'!$B$8),'Price rules'!$B$9)&lt;'Price rules'!$B$10,0,'Price rules'!$B$9))</x:f>
        <x:v>1020</x:v>
      </x:c>
      <x:c r="I18" s="30" t="n">
        <x:v>1</x:v>
      </x:c>
      <x:c r="J18" s="30" t="n">
        <x:v>1</x:v>
      </x:c>
      <x:c r="K18" s="32" t="n">
        <x:v>0.2</x:v>
      </x:c>
      <x:c r="L18" s="32"/>
      <x:c r="M18" s="25" t="str">
        <x:v>aimed_direction_projectile_lifetime_limited</x:v>
      </x:c>
      <x:c r="N18" s="25" t="str">
        <x:v>land</x:v>
      </x:c>
      <x:c r="O18" s="25" t="str">
        <x:v>Fires continuously along a selected direction. Paths replace darts with beams, missiles, or multi-barrel buckshot.</x:v>
      </x:c>
      <x:c r="P18" s="25" t="str">
        <x:v>The attack range is an engine sentinel. Aim, blockers, and projectile lifetime determine actual reach.</x:v>
      </x:c>
      <x:c r="Q18" s="25" t="str">
        <x:v>requires_upgrade_or_external_help</x:v>
      </x:c>
      <x:c r="R18" s="25" t="str">
        <x:v>rapid_fire</x:v>
      </x:c>
      <x:c r="S18" s="25" t="str">
        <x:v>tank_killer</x:v>
      </x:c>
      <x:c r="T18" s="25" t="str">
        <x:v>rapid_fire</x:v>
      </x:c>
      <x:c r="U18" s="25" t="str">
        <x:v>https://raw.githubusercontent.com/Btd6ModHelper/btd6-game-data/main/Towers/DartlingGunner/DartlingGunner.json</x:v>
      </x:c>
      <x:c r="V18" s="25" t="str">
        <x:v>https://raw.githubusercontent.com/hemisemidemipresent/cyberquincy/master/jsons/costs.json</x:v>
      </x:c>
      <x:c r="W18" s="25" t="str">
        <x:v>https://www.bloonswiki.com/Dartling_Gunner_(BTD6)</x:v>
      </x:c>
    </x:row>
    <x:row r="19" ht="98" customHeight="1">
      <x:c r="A19" s="25" t="str">
        <x:v>Wizard Monkey</x:v>
      </x:c>
      <x:c r="B19" s="25" t="str">
        <x:v>Magic</x:v>
      </x:c>
      <x:c r="C19" s="25" t="str">
        <x:v>splash</x:v>
      </x:c>
      <x:c r="D19" s="25" t="str">
        <x:v>basic_dps</x:v>
      </x:c>
      <x:c r="E19" s="30" t="n">
        <x:v>250</x:v>
      </x:c>
      <x:c r="F19" s="30" t="n">
        <x:f>IF(E19="","",FLOOR((E19*'Price rules'!$B$5),'Price rules'!$B$9)+IF(MOD((E19*'Price rules'!$B$5),'Price rules'!$B$9)&lt;'Price rules'!$B$10,0,'Price rules'!$B$9))</x:f>
        <x:v>210</x:v>
      </x:c>
      <x:c r="G19" s="30" t="n">
        <x:f>IF(E19="","",FLOOR((E19*'Price rules'!$B$7),'Price rules'!$B$9)+IF(MOD((E19*'Price rules'!$B$7),'Price rules'!$B$9)&lt;'Price rules'!$B$10,0,'Price rules'!$B$9))</x:f>
        <x:v>270</x:v>
      </x:c>
      <x:c r="H19" s="30" t="n">
        <x:f>IF(E19="","",FLOOR((E19*'Price rules'!$B$8),'Price rules'!$B$9)+IF(MOD((E19*'Price rules'!$B$8),'Price rules'!$B$9)&lt;'Price rules'!$B$10,0,'Price rules'!$B$9))</x:f>
        <x:v>300</x:v>
      </x:c>
      <x:c r="I19" s="30" t="n">
        <x:v>1</x:v>
      </x:c>
      <x:c r="J19" s="30" t="n">
        <x:v>3</x:v>
      </x:c>
      <x:c r="K19" s="32" t="n">
        <x:v>1.1</x:v>
      </x:c>
      <x:c r="L19" s="32" t="n">
        <x:v>40</x:v>
      </x:c>
      <x:c r="M19" s="25" t="str">
        <x:v>local</x:v>
      </x:c>
      <x:c r="N19" s="25" t="str">
        <x:v>land</x:v>
      </x:c>
      <x:c r="O19" s="25" t="str">
        <x:v>Fires magic projectiles. Paths add strong arcane attacks, fire and a Phoenix, or Camo removal and summoned Bloons.</x:v>
      </x:c>
      <x:c r="P19" s="25" t="str">
        <x:v>Values describe the primary unmodified base attack. Upgrades and buffs can alter them.</x:v>
      </x:c>
      <x:c r="Q19" s="25" t="str">
        <x:v>requires_upgrade_or_external_help</x:v>
      </x:c>
      <x:c r="R19" s="25" t="str">
        <x:v>tank_killer</x:v>
      </x:c>
      <x:c r="S19" s="25" t="str">
        <x:v>summoner</x:v>
      </x:c>
      <x:c r="T19" s="25" t="str">
        <x:v>summoner</x:v>
      </x:c>
      <x:c r="U19" s="25" t="str">
        <x:v>https://raw.githubusercontent.com/Btd6ModHelper/btd6-game-data/main/Towers/WizardMonkey/WizardMonkey.json</x:v>
      </x:c>
      <x:c r="V19" s="25" t="str">
        <x:v>https://raw.githubusercontent.com/hemisemidemipresent/cyberquincy/master/jsons/costs.json</x:v>
      </x:c>
      <x:c r="W19" s="25" t="str">
        <x:v>https://www.bloonswiki.com/Wizard_Monkey_(BTD6)</x:v>
      </x:c>
    </x:row>
    <x:row r="20" ht="98" customHeight="1">
      <x:c r="A20" s="25" t="str">
        <x:v>Super Monkey</x:v>
      </x:c>
      <x:c r="B20" s="25" t="str">
        <x:v>Magic</x:v>
      </x:c>
      <x:c r="C20" s="25" t="str">
        <x:v>rapid_fire</x:v>
      </x:c>
      <x:c r="D20" s="25" t="str">
        <x:v>rapid_fire</x:v>
      </x:c>
      <x:c r="E20" s="30" t="n">
        <x:v>2500</x:v>
      </x:c>
      <x:c r="F20" s="30" t="n">
        <x:f>IF(E20="","",FLOOR((E20*'Price rules'!$B$5),'Price rules'!$B$9)+IF(MOD((E20*'Price rules'!$B$5),'Price rules'!$B$9)&lt;'Price rules'!$B$10,0,'Price rules'!$B$9))</x:f>
        <x:v>2125</x:v>
      </x:c>
      <x:c r="G20" s="30" t="n">
        <x:f>IF(E20="","",FLOOR((E20*'Price rules'!$B$7),'Price rules'!$B$9)+IF(MOD((E20*'Price rules'!$B$7),'Price rules'!$B$9)&lt;'Price rules'!$B$10,0,'Price rules'!$B$9))</x:f>
        <x:v>2700</x:v>
      </x:c>
      <x:c r="H20" s="30" t="n">
        <x:f>IF(E20="","",FLOOR((E20*'Price rules'!$B$8),'Price rules'!$B$9)+IF(MOD((E20*'Price rules'!$B$8),'Price rules'!$B$9)&lt;'Price rules'!$B$10,0,'Price rules'!$B$9))</x:f>
        <x:v>3000</x:v>
      </x:c>
      <x:c r="I20" s="30" t="n">
        <x:v>1</x:v>
      </x:c>
      <x:c r="J20" s="30" t="n">
        <x:v>1</x:v>
      </x:c>
      <x:c r="K20" s="32" t="n">
        <x:v>0.045</x:v>
      </x:c>
      <x:c r="L20" s="32" t="n">
        <x:v>50</x:v>
      </x:c>
      <x:c r="M20" s="25" t="str">
        <x:v>local</x:v>
      </x:c>
      <x:c r="N20" s="25" t="str">
        <x:v>land</x:v>
      </x:c>
      <x:c r="O20" s="25" t="str">
        <x:v>Fires darts at a very high rate. Paths add sacrifice-powered sun attacks, dual guns and an area ability, or dark attacks and teleportation.</x:v>
      </x:c>
      <x:c r="P20" s="25" t="str">
        <x:v>Values describe the primary unmodified base attack. Upgrades and buffs can alter them.</x:v>
      </x:c>
      <x:c r="Q20" s="25" t="str">
        <x:v>requires_upgrade_or_external_help</x:v>
      </x:c>
      <x:c r="R20" s="25" t="str">
        <x:v>rapid_fire</x:v>
      </x:c>
      <x:c r="S20" s="25" t="str">
        <x:v>splash</x:v>
      </x:c>
      <x:c r="T20" s="25" t="str">
        <x:v>tank_killer</x:v>
      </x:c>
      <x:c r="U20" s="25" t="str">
        <x:v>https://raw.githubusercontent.com/Btd6ModHelper/btd6-game-data/main/Towers/SuperMonkey/SuperMonkey.json</x:v>
      </x:c>
      <x:c r="V20" s="25" t="str">
        <x:v>https://raw.githubusercontent.com/hemisemidemipresent/cyberquincy/master/jsons/costs.json</x:v>
      </x:c>
      <x:c r="W20" s="25" t="str">
        <x:v>https://www.bloonswiki.com/Super_Monkey_(BTD6)</x:v>
      </x:c>
    </x:row>
    <x:row r="21" ht="98" customHeight="1">
      <x:c r="A21" s="25" t="str">
        <x:v>Ninja Monkey</x:v>
      </x:c>
      <x:c r="B21" s="25" t="str">
        <x:v>Magic</x:v>
      </x:c>
      <x:c r="C21" s="25" t="str">
        <x:v>rapid_fire</x:v>
      </x:c>
      <x:c r="D21" s="25" t="str">
        <x:v>basic_dps</x:v>
      </x:c>
      <x:c r="E21" s="30" t="n">
        <x:v>400</x:v>
      </x:c>
      <x:c r="F21" s="30" t="n">
        <x:f>IF(E21="","",FLOOR((E21*'Price rules'!$B$5),'Price rules'!$B$9)+IF(MOD((E21*'Price rules'!$B$5),'Price rules'!$B$9)&lt;'Price rules'!$B$10,0,'Price rules'!$B$9))</x:f>
        <x:v>340</x:v>
      </x:c>
      <x:c r="G21" s="30" t="n">
        <x:f>IF(E21="","",FLOOR((E21*'Price rules'!$B$7),'Price rules'!$B$9)+IF(MOD((E21*'Price rules'!$B$7),'Price rules'!$B$9)&lt;'Price rules'!$B$10,0,'Price rules'!$B$9))</x:f>
        <x:v>430</x:v>
      </x:c>
      <x:c r="H21" s="30" t="n">
        <x:f>IF(E21="","",FLOOR((E21*'Price rules'!$B$8),'Price rules'!$B$9)+IF(MOD((E21*'Price rules'!$B$8),'Price rules'!$B$9)&lt;'Price rules'!$B$10,0,'Price rules'!$B$9))</x:f>
        <x:v>480</x:v>
      </x:c>
      <x:c r="I21" s="30" t="n">
        <x:v>1</x:v>
      </x:c>
      <x:c r="J21" s="30" t="n">
        <x:v>2</x:v>
      </x:c>
      <x:c r="K21" s="32" t="n">
        <x:v>0.62</x:v>
      </x:c>
      <x:c r="L21" s="32" t="n">
        <x:v>40</x:v>
      </x:c>
      <x:c r="M21" s="25" t="str">
        <x:v>local</x:v>
      </x:c>
      <x:c r="N21" s="25" t="str">
        <x:v>land</x:v>
      </x:c>
      <x:c r="O21" s="25" t="str">
        <x:v>Throws shurikens and detects Camo without upgrades. Paths add many projectiles, Ninja support and sabotage, or anti-MOAB bombs.</x:v>
      </x:c>
      <x:c r="P21" s="25" t="str">
        <x:v>Values describe the primary unmodified base attack. Upgrades and buffs can alter them.</x:v>
      </x:c>
      <x:c r="Q21" s="25" t="str">
        <x:v>innate_detection</x:v>
      </x:c>
      <x:c r="R21" s="25" t="str">
        <x:v>rapid_fire</x:v>
      </x:c>
      <x:c r="S21" s="25" t="str">
        <x:v>slow</x:v>
      </x:c>
      <x:c r="T21" s="25" t="str">
        <x:v>tank_killer</x:v>
      </x:c>
      <x:c r="U21" s="25" t="str">
        <x:v>https://raw.githubusercontent.com/Btd6ModHelper/btd6-game-data/main/Towers/NinjaMonkey/NinjaMonkey.json</x:v>
      </x:c>
      <x:c r="V21" s="25" t="str">
        <x:v>https://raw.githubusercontent.com/hemisemidemipresent/cyberquincy/master/jsons/costs.json</x:v>
      </x:c>
      <x:c r="W21" s="25" t="str">
        <x:v>https://www.bloonswiki.com/Ninja_Monkey_(BTD6)</x:v>
      </x:c>
    </x:row>
    <x:row r="22" ht="98" customHeight="1">
      <x:c r="A22" s="25" t="str">
        <x:v>Alchemist</x:v>
      </x:c>
      <x:c r="B22" s="25" t="str">
        <x:v>Magic</x:v>
      </x:c>
      <x:c r="C22" s="25" t="str">
        <x:v>support</x:v>
      </x:c>
      <x:c r="D22" s="25" t="str">
        <x:v>status</x:v>
      </x:c>
      <x:c r="E22" s="30" t="n">
        <x:v>550</x:v>
      </x:c>
      <x:c r="F22" s="30" t="n">
        <x:f>IF(E22="","",FLOOR((E22*'Price rules'!$B$5),'Price rules'!$B$9)+IF(MOD((E22*'Price rules'!$B$5),'Price rules'!$B$9)&lt;'Price rules'!$B$10,0,'Price rules'!$B$9))</x:f>
        <x:v>465</x:v>
      </x:c>
      <x:c r="G22" s="30" t="n">
        <x:f>IF(E22="","",FLOOR((E22*'Price rules'!$B$7),'Price rules'!$B$9)+IF(MOD((E22*'Price rules'!$B$7),'Price rules'!$B$9)&lt;'Price rules'!$B$10,0,'Price rules'!$B$9))</x:f>
        <x:v>595</x:v>
      </x:c>
      <x:c r="H22" s="30" t="n">
        <x:f>IF(E22="","",FLOOR((E22*'Price rules'!$B$8),'Price rules'!$B$9)+IF(MOD((E22*'Price rules'!$B$8),'Price rules'!$B$9)&lt;'Price rules'!$B$10,0,'Price rules'!$B$9))</x:f>
        <x:v>660</x:v>
      </x:c>
      <x:c r="I22" s="30" t="n">
        <x:v>1</x:v>
      </x:c>
      <x:c r="J22" s="30" t="n">
        <x:v>15</x:v>
      </x:c>
      <x:c r="K22" s="32" t="n">
        <x:v>2</x:v>
      </x:c>
      <x:c r="L22" s="32" t="n">
        <x:v>45</x:v>
      </x:c>
      <x:c r="M22" s="25" t="str">
        <x:v>local</x:v>
      </x:c>
      <x:c r="N22" s="25" t="str">
        <x:v>land</x:v>
      </x:c>
      <x:c r="O22" s="25" t="str">
        <x:v>Throws acid potions with splash and damage over time. Paths add tower buffs, explosive and transformation attacks, or extra income and shrinking.</x:v>
      </x:c>
      <x:c r="P22" s="25" t="str">
        <x:v>The exported acid effect deals one damage per two-second tick and has a 4.05-second duration. Do not add splash and tick damage as simultaneous damage.</x:v>
      </x:c>
      <x:c r="Q22" s="25" t="str">
        <x:v>requires_upgrade_or_external_help</x:v>
      </x:c>
      <x:c r="R22" s="25" t="str">
        <x:v>support</x:v>
      </x:c>
      <x:c r="S22" s="25" t="str">
        <x:v>rapid_fire</x:v>
      </x:c>
      <x:c r="T22" s="25" t="str">
        <x:v>tank_killer</x:v>
      </x:c>
      <x:c r="U22" s="25" t="str">
        <x:v>https://raw.githubusercontent.com/Btd6ModHelper/btd6-game-data/main/Towers/Alchemist/Alchemist.json</x:v>
      </x:c>
      <x:c r="V22" s="25" t="str">
        <x:v>https://raw.githubusercontent.com/hemisemidemipresent/cyberquincy/master/jsons/costs.json</x:v>
      </x:c>
      <x:c r="W22" s="25" t="str">
        <x:v>https://www.bloonswiki.com/Alchemist_(BTD6)</x:v>
      </x:c>
    </x:row>
    <x:row r="23" ht="98" customHeight="1">
      <x:c r="A23" s="25" t="str">
        <x:v>Druid</x:v>
      </x:c>
      <x:c r="B23" s="25" t="str">
        <x:v>Magic</x:v>
      </x:c>
      <x:c r="C23" s="25" t="str">
        <x:v>splash</x:v>
      </x:c>
      <x:c r="D23" s="25" t="str">
        <x:v>basic_dps</x:v>
      </x:c>
      <x:c r="E23" s="30" t="n">
        <x:v>400</x:v>
      </x:c>
      <x:c r="F23" s="30" t="n">
        <x:f>IF(E23="","",FLOOR((E23*'Price rules'!$B$5),'Price rules'!$B$9)+IF(MOD((E23*'Price rules'!$B$5),'Price rules'!$B$9)&lt;'Price rules'!$B$10,0,'Price rules'!$B$9))</x:f>
        <x:v>340</x:v>
      </x:c>
      <x:c r="G23" s="30" t="n">
        <x:f>IF(E23="","",FLOOR((E23*'Price rules'!$B$7),'Price rules'!$B$9)+IF(MOD((E23*'Price rules'!$B$7),'Price rules'!$B$9)&lt;'Price rules'!$B$10,0,'Price rules'!$B$9))</x:f>
        <x:v>430</x:v>
      </x:c>
      <x:c r="H23" s="30" t="n">
        <x:f>IF(E23="","",FLOOR((E23*'Price rules'!$B$8),'Price rules'!$B$9)+IF(MOD((E23*'Price rules'!$B$8),'Price rules'!$B$9)&lt;'Price rules'!$B$10,0,'Price rules'!$B$9))</x:f>
        <x:v>480</x:v>
      </x:c>
      <x:c r="I23" s="30" t="n">
        <x:v>1</x:v>
      </x:c>
      <x:c r="J23" s="30" t="n">
        <x:v>1</x:v>
      </x:c>
      <x:c r="K23" s="32" t="n">
        <x:v>1.1</x:v>
      </x:c>
      <x:c r="L23" s="32" t="n">
        <x:v>35</x:v>
      </x:c>
      <x:c r="M23" s="25" t="str">
        <x:v>local</x:v>
      </x:c>
      <x:c r="N23" s="25" t="str">
        <x:v>land</x:v>
      </x:c>
      <x:c r="O23" s="25" t="str">
        <x:v>Fires a spread of thorns. Paths add lightning and knockback, track vines and income, or attack bonuses that scale with combat conditions.</x:v>
      </x:c>
      <x:c r="P23" s="25" t="str">
        <x:v>Values describe the primary unmodified base attack. Upgrades and buffs can alter them.</x:v>
      </x:c>
      <x:c r="Q23" s="25" t="str">
        <x:v>requires_upgrade_or_external_help</x:v>
      </x:c>
      <x:c r="R23" s="25" t="str">
        <x:v>slow</x:v>
      </x:c>
      <x:c r="S23" s="25" t="str">
        <x:v>summoner</x:v>
      </x:c>
      <x:c r="T23" s="25" t="str">
        <x:v>rapid_fire</x:v>
      </x:c>
      <x:c r="U23" s="25" t="str">
        <x:v>https://raw.githubusercontent.com/Btd6ModHelper/btd6-game-data/main/Towers/Druid/Druid.json</x:v>
      </x:c>
      <x:c r="V23" s="25" t="str">
        <x:v>https://raw.githubusercontent.com/hemisemidemipresent/cyberquincy/master/jsons/costs.json</x:v>
      </x:c>
      <x:c r="W23" s="25" t="str">
        <x:v>https://www.bloonswiki.com/Druid_(BTD6)</x:v>
      </x:c>
    </x:row>
    <x:row r="24" ht="98" customHeight="1">
      <x:c r="A24" s="25" t="str">
        <x:v>Mermonkey</x:v>
      </x:c>
      <x:c r="B24" s="25" t="str">
        <x:v>Magic</x:v>
      </x:c>
      <x:c r="C24" s="25" t="str">
        <x:v>status</x:v>
      </x:c>
      <x:c r="D24" s="25" t="str">
        <x:v>splash</x:v>
      </x:c>
      <x:c r="E24" s="30" t="n">
        <x:v>300</x:v>
      </x:c>
      <x:c r="F24" s="30" t="n">
        <x:f>IF(E24="","",FLOOR((E24*'Price rules'!$B$5),'Price rules'!$B$9)+IF(MOD((E24*'Price rules'!$B$5),'Price rules'!$B$9)&lt;'Price rules'!$B$10,0,'Price rules'!$B$9))</x:f>
        <x:v>255</x:v>
      </x:c>
      <x:c r="G24" s="30" t="n">
        <x:f>IF(E24="","",FLOOR((E24*'Price rules'!$B$7),'Price rules'!$B$9)+IF(MOD((E24*'Price rules'!$B$7),'Price rules'!$B$9)&lt;'Price rules'!$B$10,0,'Price rules'!$B$9))</x:f>
        <x:v>325</x:v>
      </x:c>
      <x:c r="H24" s="30" t="n">
        <x:f>IF(E24="","",FLOOR((E24*'Price rules'!$B$8),'Price rules'!$B$9)+IF(MOD((E24*'Price rules'!$B$8),'Price rules'!$B$9)&lt;'Price rules'!$B$10,0,'Price rules'!$B$9))</x:f>
        <x:v>360</x:v>
      </x:c>
      <x:c r="I24" s="30" t="n">
        <x:v>2</x:v>
      </x:c>
      <x:c r="J24" s="30" t="n">
        <x:v>3</x:v>
      </x:c>
      <x:c r="K24" s="32" t="n">
        <x:v>1.2</x:v>
      </x:c>
      <x:c r="L24" s="32" t="n">
        <x:v>28</x:v>
      </x:c>
      <x:c r="M24" s="25" t="str">
        <x:v>local</x:v>
      </x:c>
      <x:c r="N24" s="25" t="str">
        <x:v>land_or_water</x:v>
      </x:c>
      <x:c r="O24" s="25" t="str">
        <x:v>Throws tridents with small splash attacks. Paths add an abyssal creature and support, cold attacks, or songs that redirect enemies.</x:v>
      </x:c>
      <x:c r="P24" s="25" t="str">
        <x:v>Land radius is 28. The older wiki stat table gives a water radius of 35; that environmental bonus is recorded separately as historical information.</x:v>
      </x:c>
      <x:c r="Q24" s="25" t="str">
        <x:v>requires_upgrade_or_external_help</x:v>
      </x:c>
      <x:c r="R24" s="25" t="str">
        <x:v>support</x:v>
      </x:c>
      <x:c r="S24" s="25" t="str">
        <x:v>status</x:v>
      </x:c>
      <x:c r="T24" s="25" t="str">
        <x:v>slow</x:v>
      </x:c>
      <x:c r="U24" s="25" t="str">
        <x:v>https://raw.githubusercontent.com/Btd6ModHelper/btd6-game-data/main/Towers/Mermonkey/Mermonkey.json</x:v>
      </x:c>
      <x:c r="V24" s="25" t="str">
        <x:v>https://raw.githubusercontent.com/hemisemidemipresent/cyberquincy/master/jsons/costs.json</x:v>
      </x:c>
      <x:c r="W24" s="25" t="str">
        <x:v>https://www.bloonswiki.com/Mermonkey_(BTD6)</x:v>
      </x:c>
    </x:row>
    <x:row r="25" ht="98" customHeight="1">
      <x:c r="A25" s="25" t="str">
        <x:v>Skywarden</x:v>
      </x:c>
      <x:c r="B25" s="25" t="str">
        <x:v>Magic</x:v>
      </x:c>
      <x:c r="C25" s="25" t="str">
        <x:v>sniper</x:v>
      </x:c>
      <x:c r="D25" s="25" t="str">
        <x:v>basic_dps</x:v>
      </x:c>
      <x:c r="E25" s="30" t="n">
        <x:v>205</x:v>
      </x:c>
      <x:c r="F25" s="30" t="n">
        <x:f>IF(E25="","",FLOOR((E25*'Price rules'!$B$5),'Price rules'!$B$9)+IF(MOD((E25*'Price rules'!$B$5),'Price rules'!$B$9)&lt;'Price rules'!$B$10,0,'Price rules'!$B$9))</x:f>
        <x:v>175</x:v>
      </x:c>
      <x:c r="G25" s="30" t="n">
        <x:f>IF(E25="","",FLOOR((E25*'Price rules'!$B$7),'Price rules'!$B$9)+IF(MOD((E25*'Price rules'!$B$7),'Price rules'!$B$9)&lt;'Price rules'!$B$10,0,'Price rules'!$B$9))</x:f>
        <x:v>220</x:v>
      </x:c>
      <x:c r="H25" s="30" t="n">
        <x:f>IF(E25="","",FLOOR((E25*'Price rules'!$B$8),'Price rules'!$B$9)+IF(MOD((E25*'Price rules'!$B$8),'Price rules'!$B$9)&lt;'Price rules'!$B$10,0,'Price rules'!$B$9))</x:f>
        <x:v>245</x:v>
      </x:c>
      <x:c r="I25" s="30" t="n">
        <x:v>1</x:v>
      </x:c>
      <x:c r="J25" s="30" t="n">
        <x:v>4</x:v>
      </x:c>
      <x:c r="K25" s="32" t="n">
        <x:v>1.55</x:v>
      </x:c>
      <x:c r="L25" s="32" t="n">
        <x:v>48</x:v>
      </x:c>
      <x:c r="M25" s="25" t="str">
        <x:v>local</x:v>
      </x:c>
      <x:c r="N25" s="25" t="str">
        <x:v>land</x:v>
      </x:c>
      <x:c r="O25" s="25" t="str">
        <x:v>Fires piercing arrows and gains attack speed through successful hits. Paths add distance-based attacks, electrical interactions, or freezing and shattering.</x:v>
      </x:c>
      <x:c r="P25" s="25" t="str">
        <x:v>Attack interval changes through consecutive-hit mechanics. The scalar is the unmodified main weapon interval.</x:v>
      </x:c>
      <x:c r="Q25" s="25" t="str">
        <x:v>requires_upgrade_or_external_help</x:v>
      </x:c>
      <x:c r="R25" s="25" t="str">
        <x:v>sniper</x:v>
      </x:c>
      <x:c r="S25" s="25" t="str">
        <x:v>support</x:v>
      </x:c>
      <x:c r="T25" s="25" t="str">
        <x:v>status</x:v>
      </x:c>
      <x:c r="U25" s="25" t="str">
        <x:v>https://raw.githubusercontent.com/Btd6ModHelper/btd6-game-data/main/Towers/Skywarden/Skywarden.json</x:v>
      </x:c>
      <x:c r="V25" s="25" t="str">
        <x:v>https://raw.githubusercontent.com/hemisemidemipresent/cyberquincy/master/jsons/costs.json</x:v>
      </x:c>
      <x:c r="W25" s="25" t="str">
        <x:v>https://www.bloonswiki.com/Skywarden_(BTD6)</x:v>
      </x:c>
    </x:row>
    <x:row r="26" ht="98" customHeight="1">
      <x:c r="A26" s="25" t="str">
        <x:v>Banana Farm</x:v>
      </x:c>
      <x:c r="B26" s="25" t="str">
        <x:v>Support</x:v>
      </x:c>
      <x:c r="C26" s="25" t="str">
        <x:v>economy</x:v>
      </x:c>
      <x:c r="D26" s="25" t="str">
        <x:v>economy</x:v>
      </x:c>
      <x:c r="E26" s="30" t="n">
        <x:v>1250</x:v>
      </x:c>
      <x:c r="F26" s="30" t="n">
        <x:f>IF(E26="","",FLOOR((E26*'Price rules'!$B$5),'Price rules'!$B$9)+IF(MOD((E26*'Price rules'!$B$5),'Price rules'!$B$9)&lt;'Price rules'!$B$10,0,'Price rules'!$B$9))</x:f>
        <x:v>1060</x:v>
      </x:c>
      <x:c r="G26" s="30" t="n">
        <x:f>IF(E26="","",FLOOR((E26*'Price rules'!$B$7),'Price rules'!$B$9)+IF(MOD((E26*'Price rules'!$B$7),'Price rules'!$B$9)&lt;'Price rules'!$B$10,0,'Price rules'!$B$9))</x:f>
        <x:v>1350</x:v>
      </x:c>
      <x:c r="H26" s="30" t="n">
        <x:f>IF(E26="","",FLOOR((E26*'Price rules'!$B$8),'Price rules'!$B$9)+IF(MOD((E26*'Price rules'!$B$8),'Price rules'!$B$9)&lt;'Price rules'!$B$10,0,'Price rules'!$B$9))</x:f>
        <x:v>1500</x:v>
      </x:c>
      <x:c r="I26" s="30" t="n">
        <x:v>0</x:v>
      </x:c>
      <x:c r="J26" s="30"/>
      <x:c r="K26" s="32"/>
      <x:c r="L26" s="32" t="n">
        <x:v>40</x:v>
      </x:c>
      <x:c r="M26" s="25" t="str">
        <x:v>production_area</x:v>
      </x:c>
      <x:c r="N26" s="25" t="str">
        <x:v>land</x:v>
      </x:c>
      <x:c r="O26" s="25" t="str">
        <x:v>Produces income instead of attacking. Paths favor collectible production, bank interest and cash abilities, or automatic cash collection.</x:v>
      </x:c>
      <x:c r="P26" s="25" t="str">
        <x:v>Its raw weapon timer controls banana emission and is not an attack rate. Income per round is not normalized in this record.</x:v>
      </x:c>
      <x:c r="Q26" s="25" t="str">
        <x:v>not_applicable</x:v>
      </x:c>
      <x:c r="R26" s="25" t="str">
        <x:v>economy</x:v>
      </x:c>
      <x:c r="S26" s="25" t="str">
        <x:v>economy</x:v>
      </x:c>
      <x:c r="T26" s="25" t="str">
        <x:v>economy</x:v>
      </x:c>
      <x:c r="U26" s="25" t="str">
        <x:v>https://raw.githubusercontent.com/Btd6ModHelper/btd6-game-data/main/Towers/BananaFarm/BananaFarm.json</x:v>
      </x:c>
      <x:c r="V26" s="25" t="str">
        <x:v>https://raw.githubusercontent.com/hemisemidemipresent/cyberquincy/master/jsons/costs.json</x:v>
      </x:c>
      <x:c r="W26" s="25" t="str">
        <x:v>https://www.bloonswiki.com/Banana_Farm_(BTD6)</x:v>
      </x:c>
    </x:row>
    <x:row r="27" ht="98" customHeight="1">
      <x:c r="A27" s="25" t="str">
        <x:v>Spike Factory</x:v>
      </x:c>
      <x:c r="B27" s="25" t="str">
        <x:v>Support</x:v>
      </x:c>
      <x:c r="C27" s="25" t="str">
        <x:v>summoner</x:v>
      </x:c>
      <x:c r="D27" s="25" t="str">
        <x:v>summoner</x:v>
      </x:c>
      <x:c r="E27" s="30" t="n">
        <x:v>1000</x:v>
      </x:c>
      <x:c r="F27" s="30" t="n">
        <x:f>IF(E27="","",FLOOR((E27*'Price rules'!$B$5),'Price rules'!$B$9)+IF(MOD((E27*'Price rules'!$B$5),'Price rules'!$B$9)&lt;'Price rules'!$B$10,0,'Price rules'!$B$9))</x:f>
        <x:v>850</x:v>
      </x:c>
      <x:c r="G27" s="30" t="n">
        <x:f>IF(E27="","",FLOOR((E27*'Price rules'!$B$7),'Price rules'!$B$9)+IF(MOD((E27*'Price rules'!$B$7),'Price rules'!$B$9)&lt;'Price rules'!$B$10,0,'Price rules'!$B$9))</x:f>
        <x:v>1080</x:v>
      </x:c>
      <x:c r="H27" s="30" t="n">
        <x:f>IF(E27="","",FLOOR((E27*'Price rules'!$B$8),'Price rules'!$B$9)+IF(MOD((E27*'Price rules'!$B$8),'Price rules'!$B$9)&lt;'Price rules'!$B$10,0,'Price rules'!$B$9))</x:f>
        <x:v>1200</x:v>
      </x:c>
      <x:c r="I27" s="30" t="n">
        <x:v>1</x:v>
      </x:c>
      <x:c r="J27" s="30" t="n">
        <x:v>5</x:v>
      </x:c>
      <x:c r="K27" s="32" t="n">
        <x:v>1.75</x:v>
      </x:c>
      <x:c r="L27" s="32" t="n">
        <x:v>34</x:v>
      </x:c>
      <x:c r="M27" s="25" t="str">
        <x:v>local_track_deployment</x:v>
      </x:c>
      <x:c r="N27" s="25" t="str">
        <x:v>land</x:v>
      </x:c>
      <x:c r="O27" s="25" t="str">
        <x:v>Places spike piles on nearby track. Paths add explosive mines, anti-MOAB spike storms, or longer-lived defensive piles.</x:v>
      </x:c>
      <x:c r="P27" s="25" t="str">
        <x:v>The exported base pile expires after 50 seconds or its round-clearing condition. Remaining pierce determines how much it can absorb.</x:v>
      </x:c>
      <x:c r="Q27" s="25" t="str">
        <x:v>track_collision_can_damage_camo</x:v>
      </x:c>
      <x:c r="R27" s="25" t="str">
        <x:v>splash</x:v>
      </x:c>
      <x:c r="S27" s="25" t="str">
        <x:v>tank_killer</x:v>
      </x:c>
      <x:c r="T27" s="25" t="str">
        <x:v>summoner</x:v>
      </x:c>
      <x:c r="U27" s="25" t="str">
        <x:v>https://raw.githubusercontent.com/Btd6ModHelper/btd6-game-data/main/Towers/SpikeFactory/SpikeFactory.json</x:v>
      </x:c>
      <x:c r="V27" s="25" t="str">
        <x:v>https://raw.githubusercontent.com/hemisemidemipresent/cyberquincy/master/jsons/costs.json</x:v>
      </x:c>
      <x:c r="W27" s="25" t="str">
        <x:v>https://www.bloonswiki.com/Spike_Factory_(BTD6)</x:v>
      </x:c>
    </x:row>
    <x:row r="28" ht="98" customHeight="1">
      <x:c r="A28" s="25" t="str">
        <x:v>Monkey Village</x:v>
      </x:c>
      <x:c r="B28" s="25" t="str">
        <x:v>Support</x:v>
      </x:c>
      <x:c r="C28" s="25" t="str">
        <x:v>support</x:v>
      </x:c>
      <x:c r="D28" s="25" t="str">
        <x:v>support</x:v>
      </x:c>
      <x:c r="E28" s="30" t="n">
        <x:v>1200</x:v>
      </x:c>
      <x:c r="F28" s="30" t="n">
        <x:f>IF(E28="","",FLOOR((E28*'Price rules'!$B$5),'Price rules'!$B$9)+IF(MOD((E28*'Price rules'!$B$5),'Price rules'!$B$9)&lt;'Price rules'!$B$10,0,'Price rules'!$B$9))</x:f>
        <x:v>1020</x:v>
      </x:c>
      <x:c r="G28" s="30" t="n">
        <x:f>IF(E28="","",FLOOR((E28*'Price rules'!$B$7),'Price rules'!$B$9)+IF(MOD((E28*'Price rules'!$B$7),'Price rules'!$B$9)&lt;'Price rules'!$B$10,0,'Price rules'!$B$9))</x:f>
        <x:v>1295</x:v>
      </x:c>
      <x:c r="H28" s="30" t="n">
        <x:f>IF(E28="","",FLOOR((E28*'Price rules'!$B$8),'Price rules'!$B$9)+IF(MOD((E28*'Price rules'!$B$8),'Price rules'!$B$9)&lt;'Price rules'!$B$10,0,'Price rules'!$B$9))</x:f>
        <x:v>1440</x:v>
      </x:c>
      <x:c r="I28" s="30" t="n">
        <x:v>0</x:v>
      </x:c>
      <x:c r="J28" s="30"/>
      <x:c r="K28" s="32"/>
      <x:c r="L28" s="32" t="n">
        <x:v>40</x:v>
      </x:c>
      <x:c r="M28" s="25" t="str">
        <x:v>local_support</x:v>
      </x:c>
      <x:c r="N28" s="25" t="str">
        <x:v>land</x:v>
      </x:c>
      <x:c r="O28" s="25" t="str">
        <x:v>Buffs nearby towers' range without attacking at base. Paths add Primary support, detection and combat buffs, or discounts and income.</x:v>
      </x:c>
      <x:c r="P28" s="25" t="str">
        <x:v>The base support model grants a 10% range increase to eligible nearby towers.</x:v>
      </x:c>
      <x:c r="Q28" s="25" t="str">
        <x:v>not_applicable</x:v>
      </x:c>
      <x:c r="R28" s="25" t="str">
        <x:v>support</x:v>
      </x:c>
      <x:c r="S28" s="25" t="str">
        <x:v>support</x:v>
      </x:c>
      <x:c r="T28" s="25" t="str">
        <x:v>economy</x:v>
      </x:c>
      <x:c r="U28" s="25" t="str">
        <x:v>https://raw.githubusercontent.com/Btd6ModHelper/btd6-game-data/main/Towers/MonkeyVillage/MonkeyVillage.json</x:v>
      </x:c>
      <x:c r="V28" s="25" t="str">
        <x:v>https://raw.githubusercontent.com/hemisemidemipresent/cyberquincy/master/jsons/costs.json</x:v>
      </x:c>
      <x:c r="W28" s="25" t="str">
        <x:v>https://www.bloonswiki.com/Monkey_Village_(BTD6)</x:v>
      </x:c>
    </x:row>
    <x:row r="29" ht="98" customHeight="1">
      <x:c r="A29" s="25" t="str">
        <x:v>Engineer Monkey</x:v>
      </x:c>
      <x:c r="B29" s="25" t="str">
        <x:v>Support</x:v>
      </x:c>
      <x:c r="C29" s="25" t="str">
        <x:v>summoner</x:v>
      </x:c>
      <x:c r="D29" s="25" t="str">
        <x:v>basic_dps</x:v>
      </x:c>
      <x:c r="E29" s="30" t="n">
        <x:v>350</x:v>
      </x:c>
      <x:c r="F29" s="30" t="n">
        <x:f>IF(E29="","",FLOOR((E29*'Price rules'!$B$5),'Price rules'!$B$9)+IF(MOD((E29*'Price rules'!$B$5),'Price rules'!$B$9)&lt;'Price rules'!$B$10,0,'Price rules'!$B$9))</x:f>
        <x:v>295</x:v>
      </x:c>
      <x:c r="G29" s="30" t="n">
        <x:f>IF(E29="","",FLOOR((E29*'Price rules'!$B$7),'Price rules'!$B$9)+IF(MOD((E29*'Price rules'!$B$7),'Price rules'!$B$9)&lt;'Price rules'!$B$10,0,'Price rules'!$B$9))</x:f>
        <x:v>380</x:v>
      </x:c>
      <x:c r="H29" s="30" t="n">
        <x:f>IF(E29="","",FLOOR((E29*'Price rules'!$B$8),'Price rules'!$B$9)+IF(MOD((E29*'Price rules'!$B$8),'Price rules'!$B$9)&lt;'Price rules'!$B$10,0,'Price rules'!$B$9))</x:f>
        <x:v>420</x:v>
      </x:c>
      <x:c r="I29" s="30" t="n">
        <x:v>1</x:v>
      </x:c>
      <x:c r="J29" s="30" t="n">
        <x:v>3</x:v>
      </x:c>
      <x:c r="K29" s="32" t="n">
        <x:v>0.7</x:v>
      </x:c>
      <x:c r="L29" s="32" t="n">
        <x:v>40</x:v>
      </x:c>
      <x:c r="M29" s="25" t="str">
        <x:v>local</x:v>
      </x:c>
      <x:c r="N29" s="25" t="str">
        <x:v>land</x:v>
      </x:c>
      <x:c r="O29" s="25" t="str">
        <x:v>Fires piercing nails. Paths add temporary sentries, cleansing and attack-speed support, or traps that capture enemies for cash.</x:v>
      </x:c>
      <x:c r="P29" s="25" t="str">
        <x:v>Values describe the primary unmodified base attack. Upgrades and buffs can alter them.</x:v>
      </x:c>
      <x:c r="Q29" s="25" t="str">
        <x:v>requires_upgrade_or_external_help</x:v>
      </x:c>
      <x:c r="R29" s="25" t="str">
        <x:v>summoner</x:v>
      </x:c>
      <x:c r="S29" s="25" t="str">
        <x:v>support</x:v>
      </x:c>
      <x:c r="T29" s="25" t="str">
        <x:v>economy</x:v>
      </x:c>
      <x:c r="U29" s="25" t="str">
        <x:v>https://raw.githubusercontent.com/Btd6ModHelper/btd6-game-data/main/Towers/EngineerMonkey/EngineerMonkey.json</x:v>
      </x:c>
      <x:c r="V29" s="25" t="str">
        <x:v>https://raw.githubusercontent.com/hemisemidemipresent/cyberquincy/master/jsons/costs.json</x:v>
      </x:c>
      <x:c r="W29" s="25" t="str">
        <x:v>https://www.bloonswiki.com/Engineer_Monkey_(BTD6)</x:v>
      </x:c>
    </x:row>
    <x:row r="30" ht="98" customHeight="1">
      <x:c r="A30" s="25" t="str">
        <x:v>Beast Handler</x:v>
      </x:c>
      <x:c r="B30" s="25" t="str">
        <x:v>Support</x:v>
      </x:c>
      <x:c r="C30" s="25" t="str">
        <x:v>summoner</x:v>
      </x:c>
      <x:c r="D30" s="25" t="str">
        <x:v>basic_dps</x:v>
      </x:c>
      <x:c r="E30" s="30" t="n">
        <x:v>250</x:v>
      </x:c>
      <x:c r="F30" s="30" t="n">
        <x:f>IF(E30="","",FLOOR((E30*'Price rules'!$B$5),'Price rules'!$B$9)+IF(MOD((E30*'Price rules'!$B$5),'Price rules'!$B$9)&lt;'Price rules'!$B$10,0,'Price rules'!$B$9))</x:f>
        <x:v>210</x:v>
      </x:c>
      <x:c r="G30" s="30" t="n">
        <x:f>IF(E30="","",FLOOR((E30*'Price rules'!$B$7),'Price rules'!$B$9)+IF(MOD((E30*'Price rules'!$B$7),'Price rules'!$B$9)&lt;'Price rules'!$B$10,0,'Price rules'!$B$9))</x:f>
        <x:v>270</x:v>
      </x:c>
      <x:c r="H30" s="30" t="n">
        <x:f>IF(E30="","",FLOOR((E30*'Price rules'!$B$8),'Price rules'!$B$9)+IF(MOD((E30*'Price rules'!$B$8),'Price rules'!$B$9)&lt;'Price rules'!$B$10,0,'Price rules'!$B$9))</x:f>
        <x:v>300</x:v>
      </x:c>
      <x:c r="I30" s="30" t="n">
        <x:v>1</x:v>
      </x:c>
      <x:c r="J30" s="30" t="n">
        <x:v>4</x:v>
      </x:c>
      <x:c r="K30" s="32" t="n">
        <x:v>1.4</x:v>
      </x:c>
      <x:c r="L30" s="32" t="n">
        <x:v>20</x:v>
      </x:c>
      <x:c r="M30" s="25" t="str">
        <x:v>local</x:v>
      </x:c>
      <x:c r="N30" s="25" t="str">
        <x:v>land_with_beast_constraints</x:v>
      </x:c>
      <x:c r="O30" s="25" t="str">
        <x:v>Uses a short-range staff before commanding a beast. Its paths command aquatic predators, land dinosaurs, or birds that reposition enemies.</x:v>
      </x:c>
      <x:c r="P30" s="25" t="str">
        <x:v>Beast Power, merged support, and beast position alter upgraded attacks. The base staff stats do not describe any upgraded beast.</x:v>
      </x:c>
      <x:c r="Q30" s="25" t="str">
        <x:v>requires_upgrade_or_external_help</x:v>
      </x:c>
      <x:c r="R30" s="25" t="str">
        <x:v>tank_killer</x:v>
      </x:c>
      <x:c r="S30" s="25" t="str">
        <x:v>splash</x:v>
      </x:c>
      <x:c r="T30" s="25" t="str">
        <x:v>slow</x:v>
      </x:c>
      <x:c r="U30" s="25" t="str">
        <x:v>https://raw.githubusercontent.com/Btd6ModHelper/btd6-game-data/main/Towers/BeastHandler/BeastHandler.json</x:v>
      </x:c>
      <x:c r="V30" s="25" t="str">
        <x:v>https://raw.githubusercontent.com/hemisemidemipresent/cyberquincy/master/jsons/costs.json</x:v>
      </x:c>
      <x:c r="W30" s="25" t="str">
        <x:v>https://www.bloonswiki.com/Beast_Handler_(BTD6)</x:v>
      </x:c>
    </x:row>
  </x:sheetData>
  <x:mergeCells>
    <x:mergeCell ref="A1:J1"/>
    <x:mergeCell ref="A2:J2"/>
  </x:mergeCells>
  <x:dataValidations count="1">
    <x:dataValidation type="list" sqref="C5:D30">
      <x:formula1>"basic_dps,sniper,rapid_fire,splash,slow,support,economy,tank_killer,status,summoner"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4845aceb6414f2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0" hidden="0" customWidth="1"/>
    <x:col min="3" max="3" width="12" hidden="0" customWidth="1"/>
    <x:col min="4" max="4" width="8" hidden="0" customWidth="1"/>
    <x:col min="5" max="5" width="30" hidden="0" customWidth="1"/>
    <x:col min="6" max="6" width="16" hidden="0" customWidth="1"/>
    <x:col min="7" max="7" width="14" hidden="0" customWidth="1"/>
    <x:col min="8" max="8" width="14" hidden="0" customWidth="1"/>
    <x:col min="9" max="9" width="17" hidden="0" customWidth="1"/>
    <x:col min="10" max="10" width="20" hidden="0" customWidth="1"/>
    <x:col min="11" max="11" width="18" hidden="0" customWidth="1"/>
    <x:col min="12" max="12" width="17" hidden="0" customWidth="1"/>
    <x:col min="13" max="13" width="40" hidden="0" customWidth="1"/>
    <x:col min="14" max="14" width="18" hidden="0" customWidth="1"/>
    <x:col min="15" max="15" width="18" hidden="0" customWidth="1"/>
    <x:col min="16" max="16" width="40" hidden="0" customWidth="1"/>
    <x:col min="17" max="17" width="40" hidden="0" customWidth="1"/>
    <x:col min="18" max="18" width="40" hidden="0" customWidth="1"/>
    <x:col min="19" max="19" width="40" hidden="0" customWidth="1"/>
    <x:col min="20" max="20" width="18" hidden="0" customWidth="1"/>
  </x:cols>
  <x:sheetData>
    <x:row r="1" ht="38" customHeight="1">
      <x:c r="A1" s="8" t="str">
        <x:v>All regular upgrades</x:v>
      </x:c>
      <x:c r="B1" s="8"/>
      <x:c r="C1" s="8"/>
      <x:c r="D1" s="8"/>
      <x:c r="E1" s="8"/>
      <x:c r="F1" s="8"/>
      <x:c r="G1" s="8"/>
      <x:c r="H1" s="8"/>
      <x:c r="I1" s="8"/>
      <x:c r="J1" s="8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2" ht="34" customHeight="1">
      <x:c r="A2" s="13" t="str">
        <x:v>390 records. Medium costs are incremental. Bare-path totals exclude crosspaths, sacrifices and supporting handlers. Monkeyopolis is conditional.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4"/>
      <x:c r="L2" s="4"/>
      <x:c r="M2" s="4"/>
      <x:c r="N2" s="4"/>
      <x:c r="O2" s="4"/>
      <x:c r="P2" s="4"/>
      <x:c r="Q2" s="4"/>
      <x:c r="R2" s="4"/>
      <x:c r="S2" s="4"/>
      <x:c r="T2" s="4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</x:row>
    <x:row r="4" ht="34" customHeight="1">
      <x:c r="A4" s="19" t="str">
        <x:v>Tower</x:v>
      </x:c>
      <x:c r="B4" s="19" t="str">
        <x:v>Code</x:v>
      </x:c>
      <x:c r="C4" s="19" t="str">
        <x:v>Path</x:v>
      </x:c>
      <x:c r="D4" s="19" t="str">
        <x:v>Tier</x:v>
      </x:c>
      <x:c r="E4" s="19" t="str">
        <x:v>Upgrade</x:v>
      </x:c>
      <x:c r="F4" s="19" t="str">
        <x:v>Medium increment</x:v>
      </x:c>
      <x:c r="G4" s="19" t="str">
        <x:v>Easy calc.</x:v>
      </x:c>
      <x:c r="H4" s="19" t="str">
        <x:v>Hard calc.</x:v>
      </x:c>
      <x:c r="I4" s="19" t="str">
        <x:v>Impoppable calc.</x:v>
      </x:c>
      <x:c r="J4" s="19" t="str">
        <x:v>Medium bare-path total</x:v>
      </x:c>
      <x:c r="K4" s="19" t="str">
        <x:v>Historical wiki XP</x:v>
      </x:c>
      <x:c r="L4" s="19" t="str">
        <x:v>Build role</x:v>
      </x:c>
      <x:c r="M4" s="19" t="str">
        <x:v>Effect summary</x:v>
      </x:c>
      <x:c r="N4" s="19" t="str">
        <x:v>Cost kind</x:v>
      </x:c>
      <x:c r="O4" s="19" t="str">
        <x:v>Raw source Medium</x:v>
      </x:c>
      <x:c r="P4" s="19" t="str">
        <x:v>Model reference URL</x:v>
      </x:c>
      <x:c r="Q4" s="19" t="str">
        <x:v>Cost source URL</x:v>
      </x:c>
      <x:c r="R4" s="19" t="str">
        <x:v>Effect source URL</x:v>
      </x:c>
      <x:c r="S4" s="19" t="str">
        <x:v>XP source URL</x:v>
      </x:c>
      <x:c r="T4" s="19" t="str">
        <x:v>Wiki base-stat version</x:v>
      </x:c>
    </x:row>
    <x:row r="5" ht="64" customHeight="1">
      <x:c r="A5" s="25" t="str">
        <x:v>Dart Monkey</x:v>
      </x:c>
      <x:c r="B5" s="80" t="str">
        <x:v>100</x:v>
      </x:c>
      <x:c r="C5" s="25" t="str">
        <x:v>top</x:v>
      </x:c>
      <x:c r="D5" s="25" t="n">
        <x:v>1</x:v>
      </x:c>
      <x:c r="E5" s="25" t="str">
        <x:v>Sharp Shots</x:v>
      </x:c>
      <x:c r="F5" s="30" t="n">
        <x:v>140</x:v>
      </x:c>
      <x:c r="G5" s="30" t="n">
        <x:f>IF(F5="","",FLOOR(INT(F5*'Price rules'!$B$5),'Price rules'!$B$9)+IF(MOD(INT(F5*'Price rules'!$B$5),'Price rules'!$B$9)&lt;'Price rules'!$B$10,0,'Price rules'!$B$9))</x:f>
        <x:v>120</x:v>
      </x:c>
      <x:c r="H5" s="30" t="n">
        <x:f>IF(F5="","",FLOOR(INT(F5*'Price rules'!$B$7),'Price rules'!$B$9)+IF(MOD(INT(F5*'Price rules'!$B$7),'Price rules'!$B$9)&lt;'Price rules'!$B$10,0,'Price rules'!$B$9))</x:f>
        <x:v>150</x:v>
      </x:c>
      <x:c r="I5" s="30" t="n">
        <x:f>IF(F5="","",FLOOR(INT(F5*'Price rules'!$B$8),'Price rules'!$B$9)+IF(MOD(INT(F5*'Price rules'!$B$8),'Price rules'!$B$9)&lt;'Price rules'!$B$10,0,'Price rules'!$B$9))</x:f>
        <x:v>170</x:v>
      </x:c>
      <x:c r="J5" s="30" t="n">
        <x:f>IF(N5="conditional","",SUMIFS($F$5:$F$394,$A$5:$A$394,A5,$C$5:$C$394,C5,$D$5:$D$394,"&lt;="&amp;D5)+SUMIF(Towers!$A$5:$A$30,A5,Towers!$E$5:$E$30))</x:f>
        <x:v>340</x:v>
      </x:c>
      <x:c r="K5" s="30" t="n">
        <x:v>100</x:v>
      </x:c>
      <x:c r="L5" s="25" t="str">
        <x:v>basic_dps</x:v>
      </x:c>
      <x:c r="M5" s="25" t="str">
        <x:v>Adds one pierce.</x:v>
      </x:c>
      <x:c r="N5" s="25" t="str">
        <x:v>fixed_upgrade_price</x:v>
      </x:c>
      <x:c r="O5" s="30" t="n">
        <x:v>140</x:v>
      </x:c>
      <x:c r="P5" s="25" t="str">
        <x:v>https://raw.githubusercontent.com/Btd6ModHelper/btd6-game-data/main/Towers/DartMonkey/DartMonkey-100.json</x:v>
      </x:c>
      <x:c r="Q5" s="25" t="str">
        <x:v>https://raw.githubusercontent.com/hemisemidemipresent/cyberquincy/master/jsons/costs.json</x:v>
      </x:c>
      <x:c r="R5" s="25" t="str">
        <x:v>https://raw.githubusercontent.com/Btd6ModHelper/btd6-game-data/main/textTable.json</x:v>
      </x:c>
      <x:c r="S5" s="25" t="str">
        <x:v>https://www.bloonswiki.com/Dart_Monkey_(BTD6)</x:v>
      </x:c>
      <x:c r="T5" s="25" t="str">
        <x:v>48.0</x:v>
      </x:c>
    </x:row>
    <x:row r="6" ht="64" customHeight="1">
      <x:c r="A6" s="25" t="str">
        <x:v>Dart Monkey</x:v>
      </x:c>
      <x:c r="B6" s="80" t="str">
        <x:v>200</x:v>
      </x:c>
      <x:c r="C6" s="25" t="str">
        <x:v>top</x:v>
      </x:c>
      <x:c r="D6" s="25" t="n">
        <x:v>2</x:v>
      </x:c>
      <x:c r="E6" s="25" t="str">
        <x:v>Razor Sharp Shots</x:v>
      </x:c>
      <x:c r="F6" s="30" t="n">
        <x:v>200</x:v>
      </x:c>
      <x:c r="G6" s="30" t="n">
        <x:f>IF(F6="","",FLOOR(INT(F6*'Price rules'!$B$5),'Price rules'!$B$9)+IF(MOD(INT(F6*'Price rules'!$B$5),'Price rules'!$B$9)&lt;'Price rules'!$B$10,0,'Price rules'!$B$9))</x:f>
        <x:v>170</x:v>
      </x:c>
      <x:c r="H6" s="30" t="n">
        <x:f>IF(F6="","",FLOOR(INT(F6*'Price rules'!$B$7),'Price rules'!$B$9)+IF(MOD(INT(F6*'Price rules'!$B$7),'Price rules'!$B$9)&lt;'Price rules'!$B$10,0,'Price rules'!$B$9))</x:f>
        <x:v>215</x:v>
      </x:c>
      <x:c r="I6" s="30" t="n">
        <x:f>IF(F6="","",FLOOR(INT(F6*'Price rules'!$B$8),'Price rules'!$B$9)+IF(MOD(INT(F6*'Price rules'!$B$8),'Price rules'!$B$9)&lt;'Price rules'!$B$10,0,'Price rules'!$B$9))</x:f>
        <x:v>240</x:v>
      </x:c>
      <x:c r="J6" s="30" t="n">
        <x:f>IF(N6="conditional","",SUMIFS($F$5:$F$394,$A$5:$A$394,A6,$C$5:$C$394,C6,$D$5:$D$394,"&lt;="&amp;D6)+SUMIF(Towers!$A$5:$A$30,A6,Towers!$E$5:$E$30))</x:f>
        <x:v>540</x:v>
      </x:c>
      <x:c r="K6" s="30" t="n">
        <x:v>500</x:v>
      </x:c>
      <x:c r="L6" s="25" t="str">
        <x:v>basic_dps</x:v>
      </x:c>
      <x:c r="M6" s="25" t="str">
        <x:v>Adds two more pierce.</x:v>
      </x:c>
      <x:c r="N6" s="25" t="str">
        <x:v>fixed_upgrade_price</x:v>
      </x:c>
      <x:c r="O6" s="30" t="n">
        <x:v>200</x:v>
      </x:c>
      <x:c r="P6" s="25" t="str">
        <x:v>https://raw.githubusercontent.com/Btd6ModHelper/btd6-game-data/main/Towers/DartMonkey/DartMonkey-200.json</x:v>
      </x:c>
      <x:c r="Q6" s="25" t="str">
        <x:v>https://raw.githubusercontent.com/hemisemidemipresent/cyberquincy/master/jsons/costs.json</x:v>
      </x:c>
      <x:c r="R6" s="25" t="str">
        <x:v>https://raw.githubusercontent.com/Btd6ModHelper/btd6-game-data/main/textTable.json</x:v>
      </x:c>
      <x:c r="S6" s="25" t="str">
        <x:v>https://www.bloonswiki.com/Dart_Monkey_(BTD6)</x:v>
      </x:c>
      <x:c r="T6" s="25" t="str">
        <x:v>48.0</x:v>
      </x:c>
    </x:row>
    <x:row r="7" ht="64" customHeight="1">
      <x:c r="A7" s="25" t="str">
        <x:v>Dart Monkey</x:v>
      </x:c>
      <x:c r="B7" s="80" t="str">
        <x:v>300</x:v>
      </x:c>
      <x:c r="C7" s="25" t="str">
        <x:v>top</x:v>
      </x:c>
      <x:c r="D7" s="25" t="n">
        <x:v>3</x:v>
      </x:c>
      <x:c r="E7" s="25" t="str">
        <x:v>Spike-o-pult</x:v>
      </x:c>
      <x:c r="F7" s="30" t="n">
        <x:v>320</x:v>
      </x:c>
      <x:c r="G7" s="30" t="n">
        <x:f>IF(F7="","",FLOOR(INT(F7*'Price rules'!$B$5),'Price rules'!$B$9)+IF(MOD(INT(F7*'Price rules'!$B$5),'Price rules'!$B$9)&lt;'Price rules'!$B$10,0,'Price rules'!$B$9))</x:f>
        <x:v>270</x:v>
      </x:c>
      <x:c r="H7" s="30" t="n">
        <x:f>IF(F7="","",FLOOR(INT(F7*'Price rules'!$B$7),'Price rules'!$B$9)+IF(MOD(INT(F7*'Price rules'!$B$7),'Price rules'!$B$9)&lt;'Price rules'!$B$10,0,'Price rules'!$B$9))</x:f>
        <x:v>345</x:v>
      </x:c>
      <x:c r="I7" s="30" t="n">
        <x:f>IF(F7="","",FLOOR(INT(F7*'Price rules'!$B$8),'Price rules'!$B$9)+IF(MOD(INT(F7*'Price rules'!$B$8),'Price rules'!$B$9)&lt;'Price rules'!$B$10,0,'Price rules'!$B$9))</x:f>
        <x:v>385</x:v>
      </x:c>
      <x:c r="J7" s="30" t="n">
        <x:f>IF(N7="conditional","",SUMIFS($F$5:$F$394,$A$5:$A$394,A7,$C$5:$C$394,C7,$D$5:$D$394,"&lt;="&amp;D7)+SUMIF(Towers!$A$5:$A$30,A7,Towers!$E$5:$E$30))</x:f>
        <x:v>860</x:v>
      </x:c>
      <x:c r="K7" s="30" t="n">
        <x:v>2100</x:v>
      </x:c>
      <x:c r="L7" s="25" t="str">
        <x:v>splash</x:v>
      </x:c>
      <x:c r="M7" s="25" t="str">
        <x:v>Replaces darts with slower, high-pierce balls that rebound from walls.</x:v>
      </x:c>
      <x:c r="N7" s="25" t="str">
        <x:v>fixed_upgrade_price</x:v>
      </x:c>
      <x:c r="O7" s="30" t="n">
        <x:v>320</x:v>
      </x:c>
      <x:c r="P7" s="25" t="str">
        <x:v>https://raw.githubusercontent.com/Btd6ModHelper/btd6-game-data/main/Towers/DartMonkey/DartMonkey-300.json</x:v>
      </x:c>
      <x:c r="Q7" s="25" t="str">
        <x:v>https://raw.githubusercontent.com/hemisemidemipresent/cyberquincy/master/jsons/costs.json</x:v>
      </x:c>
      <x:c r="R7" s="25" t="str">
        <x:v>https://raw.githubusercontent.com/Btd6ModHelper/btd6-game-data/main/textTable.json</x:v>
      </x:c>
      <x:c r="S7" s="25" t="str">
        <x:v>https://www.bloonswiki.com/Dart_Monkey_(BTD6)</x:v>
      </x:c>
      <x:c r="T7" s="25" t="str">
        <x:v>48.0</x:v>
      </x:c>
    </x:row>
    <x:row r="8" ht="64" customHeight="1">
      <x:c r="A8" s="25" t="str">
        <x:v>Dart Monkey</x:v>
      </x:c>
      <x:c r="B8" s="80" t="str">
        <x:v>400</x:v>
      </x:c>
      <x:c r="C8" s="25" t="str">
        <x:v>top</x:v>
      </x:c>
      <x:c r="D8" s="25" t="n">
        <x:v>4</x:v>
      </x:c>
      <x:c r="E8" s="25" t="str">
        <x:v>Juggernaut</x:v>
      </x:c>
      <x:c r="F8" s="30" t="n">
        <x:v>1800</x:v>
      </x:c>
      <x:c r="G8" s="30" t="n">
        <x:f>IF(F8="","",FLOOR(INT(F8*'Price rules'!$B$5),'Price rules'!$B$9)+IF(MOD(INT(F8*'Price rules'!$B$5),'Price rules'!$B$9)&lt;'Price rules'!$B$10,0,'Price rules'!$B$9))</x:f>
        <x:v>1530</x:v>
      </x:c>
      <x:c r="H8" s="30" t="n">
        <x:f>IF(F8="","",FLOOR(INT(F8*'Price rules'!$B$7),'Price rules'!$B$9)+IF(MOD(INT(F8*'Price rules'!$B$7),'Price rules'!$B$9)&lt;'Price rules'!$B$10,0,'Price rules'!$B$9))</x:f>
        <x:v>1945</x:v>
      </x:c>
      <x:c r="I8" s="30" t="n">
        <x:f>IF(F8="","",FLOOR(INT(F8*'Price rules'!$B$8),'Price rules'!$B$9)+IF(MOD(INT(F8*'Price rules'!$B$8),'Price rules'!$B$9)&lt;'Price rules'!$B$10,0,'Price rules'!$B$9))</x:f>
        <x:v>2160</x:v>
      </x:c>
      <x:c r="J8" s="30" t="n">
        <x:f>IF(N8="conditional","",SUMIFS($F$5:$F$394,$A$5:$A$394,A8,$C$5:$C$394,C8,$D$5:$D$394,"&lt;="&amp;D8)+SUMIF(Towers!$A$5:$A$30,A8,Towers!$E$5:$E$30))</x:f>
        <x:v>2660</x:v>
      </x:c>
      <x:c r="K8" s="30" t="n">
        <x:v>7500</x:v>
      </x:c>
      <x:c r="L8" s="25" t="str">
        <x:v>splash</x:v>
      </x:c>
      <x:c r="M8" s="25" t="str">
        <x:v>Bouncing balls damage Lead and gain bonuses against Ceramic and Fortified targets.</x:v>
      </x:c>
      <x:c r="N8" s="25" t="str">
        <x:v>fixed_upgrade_price</x:v>
      </x:c>
      <x:c r="O8" s="30" t="n">
        <x:v>1800</x:v>
      </x:c>
      <x:c r="P8" s="25" t="str">
        <x:v>https://raw.githubusercontent.com/Btd6ModHelper/btd6-game-data/main/Towers/DartMonkey/DartMonkey-400.json</x:v>
      </x:c>
      <x:c r="Q8" s="25" t="str">
        <x:v>https://raw.githubusercontent.com/hemisemidemipresent/cyberquincy/master/jsons/costs.json</x:v>
      </x:c>
      <x:c r="R8" s="25" t="str">
        <x:v>https://raw.githubusercontent.com/Btd6ModHelper/btd6-game-data/main/textTable.json</x:v>
      </x:c>
      <x:c r="S8" s="25" t="str">
        <x:v>https://www.bloonswiki.com/Dart_Monkey_(BTD6)</x:v>
      </x:c>
      <x:c r="T8" s="25" t="str">
        <x:v>48.0</x:v>
      </x:c>
    </x:row>
    <x:row r="9" ht="64" customHeight="1">
      <x:c r="A9" s="25" t="str">
        <x:v>Dart Monkey</x:v>
      </x:c>
      <x:c r="B9" s="80" t="str">
        <x:v>500</x:v>
      </x:c>
      <x:c r="C9" s="25" t="str">
        <x:v>top</x:v>
      </x:c>
      <x:c r="D9" s="25" t="n">
        <x:v>5</x:v>
      </x:c>
      <x:c r="E9" s="25" t="str">
        <x:v>Ultra-Juggernaut</x:v>
      </x:c>
      <x:c r="F9" s="30" t="n">
        <x:v>15000</x:v>
      </x:c>
      <x:c r="G9" s="30" t="n">
        <x:f>IF(F9="","",FLOOR(INT(F9*'Price rules'!$B$5),'Price rules'!$B$9)+IF(MOD(INT(F9*'Price rules'!$B$5),'Price rules'!$B$9)&lt;'Price rules'!$B$10,0,'Price rules'!$B$9))</x:f>
        <x:v>12750</x:v>
      </x:c>
      <x:c r="H9" s="30" t="n">
        <x:f>IF(F9="","",FLOOR(INT(F9*'Price rules'!$B$7),'Price rules'!$B$9)+IF(MOD(INT(F9*'Price rules'!$B$7),'Price rules'!$B$9)&lt;'Price rules'!$B$10,0,'Price rules'!$B$9))</x:f>
        <x:v>16200</x:v>
      </x:c>
      <x:c r="I9" s="30" t="n">
        <x:f>IF(F9="","",FLOOR(INT(F9*'Price rules'!$B$8),'Price rules'!$B$9)+IF(MOD(INT(F9*'Price rules'!$B$8),'Price rules'!$B$9)&lt;'Price rules'!$B$10,0,'Price rules'!$B$9))</x:f>
        <x:v>18000</x:v>
      </x:c>
      <x:c r="J9" s="30" t="n">
        <x:f>IF(N9="conditional","",SUMIFS($F$5:$F$394,$A$5:$A$394,A9,$C$5:$C$394,C9,$D$5:$D$394,"&lt;="&amp;D9)+SUMIF(Towers!$A$5:$A$30,A9,Towers!$E$5:$E$30))</x:f>
        <x:v>17660</x:v>
      </x:c>
      <x:c r="K9" s="30" t="n">
        <x:v>22000</x:v>
      </x:c>
      <x:c r="L9" s="25" t="str">
        <x:v>splash</x:v>
      </x:c>
      <x:c r="M9" s="25" t="str">
        <x:v>Large balls release two sets of six smaller Juggernaut balls.</x:v>
      </x:c>
      <x:c r="N9" s="25" t="str">
        <x:v>fixed_upgrade_price</x:v>
      </x:c>
      <x:c r="O9" s="30" t="n">
        <x:v>15000</x:v>
      </x:c>
      <x:c r="P9" s="25" t="str">
        <x:v>https://raw.githubusercontent.com/Btd6ModHelper/btd6-game-data/main/Towers/DartMonkey/DartMonkey-500.json</x:v>
      </x:c>
      <x:c r="Q9" s="25" t="str">
        <x:v>https://raw.githubusercontent.com/hemisemidemipresent/cyberquincy/master/jsons/costs.json</x:v>
      </x:c>
      <x:c r="R9" s="25" t="str">
        <x:v>https://raw.githubusercontent.com/Btd6ModHelper/btd6-game-data/main/textTable.json</x:v>
      </x:c>
      <x:c r="S9" s="25" t="str">
        <x:v>https://www.bloonswiki.com/Dart_Monkey_(BTD6)</x:v>
      </x:c>
      <x:c r="T9" s="25" t="str">
        <x:v>48.0</x:v>
      </x:c>
    </x:row>
    <x:row r="10" ht="64" customHeight="1">
      <x:c r="A10" s="25" t="str">
        <x:v>Dart Monkey</x:v>
      </x:c>
      <x:c r="B10" s="80" t="str">
        <x:v>010</x:v>
      </x:c>
      <x:c r="C10" s="25" t="str">
        <x:v>middle</x:v>
      </x:c>
      <x:c r="D10" s="25" t="n">
        <x:v>1</x:v>
      </x:c>
      <x:c r="E10" s="25" t="str">
        <x:v>Quick Shots</x:v>
      </x:c>
      <x:c r="F10" s="30" t="n">
        <x:v>100</x:v>
      </x:c>
      <x:c r="G10" s="30" t="n">
        <x:f>IF(F10="","",FLOOR(INT(F10*'Price rules'!$B$5),'Price rules'!$B$9)+IF(MOD(INT(F10*'Price rules'!$B$5),'Price rules'!$B$9)&lt;'Price rules'!$B$10,0,'Price rules'!$B$9))</x:f>
        <x:v>85</x:v>
      </x:c>
      <x:c r="H10" s="30" t="n">
        <x:f>IF(F10="","",FLOOR(INT(F10*'Price rules'!$B$7),'Price rules'!$B$9)+IF(MOD(INT(F10*'Price rules'!$B$7),'Price rules'!$B$9)&lt;'Price rules'!$B$10,0,'Price rules'!$B$9))</x:f>
        <x:v>110</x:v>
      </x:c>
      <x:c r="I10" s="30" t="n">
        <x:f>IF(F10="","",FLOOR(INT(F10*'Price rules'!$B$8),'Price rules'!$B$9)+IF(MOD(INT(F10*'Price rules'!$B$8),'Price rules'!$B$9)&lt;'Price rules'!$B$10,0,'Price rules'!$B$9))</x:f>
        <x:v>120</x:v>
      </x:c>
      <x:c r="J10" s="30" t="n">
        <x:f>IF(N10="conditional","",SUMIFS($F$5:$F$394,$A$5:$A$394,A10,$C$5:$C$394,C10,$D$5:$D$394,"&lt;="&amp;D10)+SUMIF(Towers!$A$5:$A$30,A10,Towers!$E$5:$E$30))</x:f>
        <x:v>300</x:v>
      </x:c>
      <x:c r="K10" s="30" t="n">
        <x:v>80</x:v>
      </x:c>
      <x:c r="L10" s="25" t="str">
        <x:v>basic_dps</x:v>
      </x:c>
      <x:c r="M10" s="25" t="str">
        <x:v>Reduces the interval between attacks.</x:v>
      </x:c>
      <x:c r="N10" s="25" t="str">
        <x:v>fixed_upgrade_price</x:v>
      </x:c>
      <x:c r="O10" s="30" t="n">
        <x:v>100</x:v>
      </x:c>
      <x:c r="P10" s="25" t="str">
        <x:v>https://raw.githubusercontent.com/Btd6ModHelper/btd6-game-data/main/Towers/DartMonkey/DartMonkey-010.json</x:v>
      </x:c>
      <x:c r="Q10" s="25" t="str">
        <x:v>https://raw.githubusercontent.com/hemisemidemipresent/cyberquincy/master/jsons/costs.json</x:v>
      </x:c>
      <x:c r="R10" s="25" t="str">
        <x:v>https://raw.githubusercontent.com/Btd6ModHelper/btd6-game-data/main/textTable.json</x:v>
      </x:c>
      <x:c r="S10" s="25" t="str">
        <x:v>https://www.bloonswiki.com/Dart_Monkey_(BTD6)</x:v>
      </x:c>
      <x:c r="T10" s="25" t="str">
        <x:v>48.0</x:v>
      </x:c>
    </x:row>
    <x:row r="11" ht="64" customHeight="1">
      <x:c r="A11" s="25" t="str">
        <x:v>Dart Monkey</x:v>
      </x:c>
      <x:c r="B11" s="80" t="str">
        <x:v>020</x:v>
      </x:c>
      <x:c r="C11" s="25" t="str">
        <x:v>middle</x:v>
      </x:c>
      <x:c r="D11" s="25" t="n">
        <x:v>2</x:v>
      </x:c>
      <x:c r="E11" s="25" t="str">
        <x:v>Very Quick Shots</x:v>
      </x:c>
      <x:c r="F11" s="30" t="n">
        <x:v>190</x:v>
      </x:c>
      <x:c r="G11" s="30" t="n">
        <x:f>IF(F11="","",FLOOR(INT(F11*'Price rules'!$B$5),'Price rules'!$B$9)+IF(MOD(INT(F11*'Price rules'!$B$5),'Price rules'!$B$9)&lt;'Price rules'!$B$10,0,'Price rules'!$B$9))</x:f>
        <x:v>160</x:v>
      </x:c>
      <x:c r="H11" s="30" t="n">
        <x:f>IF(F11="","",FLOOR(INT(F11*'Price rules'!$B$7),'Price rules'!$B$9)+IF(MOD(INT(F11*'Price rules'!$B$7),'Price rules'!$B$9)&lt;'Price rules'!$B$10,0,'Price rules'!$B$9))</x:f>
        <x:v>205</x:v>
      </x:c>
      <x:c r="I11" s="30" t="n">
        <x:f>IF(F11="","",FLOOR(INT(F11*'Price rules'!$B$8),'Price rules'!$B$9)+IF(MOD(INT(F11*'Price rules'!$B$8),'Price rules'!$B$9)&lt;'Price rules'!$B$10,0,'Price rules'!$B$9))</x:f>
        <x:v>230</x:v>
      </x:c>
      <x:c r="J11" s="30" t="n">
        <x:f>IF(N11="conditional","",SUMIFS($F$5:$F$394,$A$5:$A$394,A11,$C$5:$C$394,C11,$D$5:$D$394,"&lt;="&amp;D11)+SUMIF(Towers!$A$5:$A$30,A11,Towers!$E$5:$E$30))</x:f>
        <x:v>490</x:v>
      </x:c>
      <x:c r="K11" s="30" t="n">
        <x:v>400</x:v>
      </x:c>
      <x:c r="L11" s="25" t="str">
        <x:v>basic_dps</x:v>
      </x:c>
      <x:c r="M11" s="25" t="str">
        <x:v>Further reduces the attack interval.</x:v>
      </x:c>
      <x:c r="N11" s="25" t="str">
        <x:v>fixed_upgrade_price</x:v>
      </x:c>
      <x:c r="O11" s="30" t="n">
        <x:v>190</x:v>
      </x:c>
      <x:c r="P11" s="25" t="str">
        <x:v>https://raw.githubusercontent.com/Btd6ModHelper/btd6-game-data/main/Towers/DartMonkey/DartMonkey-020.json</x:v>
      </x:c>
      <x:c r="Q11" s="25" t="str">
        <x:v>https://raw.githubusercontent.com/hemisemidemipresent/cyberquincy/master/jsons/costs.json</x:v>
      </x:c>
      <x:c r="R11" s="25" t="str">
        <x:v>https://raw.githubusercontent.com/Btd6ModHelper/btd6-game-data/main/textTable.json</x:v>
      </x:c>
      <x:c r="S11" s="25" t="str">
        <x:v>https://www.bloonswiki.com/Dart_Monkey_(BTD6)</x:v>
      </x:c>
      <x:c r="T11" s="25" t="str">
        <x:v>48.0</x:v>
      </x:c>
    </x:row>
    <x:row r="12" ht="64" customHeight="1">
      <x:c r="A12" s="25" t="str">
        <x:v>Dart Monkey</x:v>
      </x:c>
      <x:c r="B12" s="80" t="str">
        <x:v>030</x:v>
      </x:c>
      <x:c r="C12" s="25" t="str">
        <x:v>middle</x:v>
      </x:c>
      <x:c r="D12" s="25" t="n">
        <x:v>3</x:v>
      </x:c>
      <x:c r="E12" s="25" t="str">
        <x:v>Triple Shot</x:v>
      </x:c>
      <x:c r="F12" s="30" t="n">
        <x:v>450</x:v>
      </x:c>
      <x:c r="G12" s="30" t="n">
        <x:f>IF(F12="","",FLOOR(INT(F12*'Price rules'!$B$5),'Price rules'!$B$9)+IF(MOD(INT(F12*'Price rules'!$B$5),'Price rules'!$B$9)&lt;'Price rules'!$B$10,0,'Price rules'!$B$9))</x:f>
        <x:v>380</x:v>
      </x:c>
      <x:c r="H12" s="30" t="n">
        <x:f>IF(F12="","",FLOOR(INT(F12*'Price rules'!$B$7),'Price rules'!$B$9)+IF(MOD(INT(F12*'Price rules'!$B$7),'Price rules'!$B$9)&lt;'Price rules'!$B$10,0,'Price rules'!$B$9))</x:f>
        <x:v>485</x:v>
      </x:c>
      <x:c r="I12" s="30" t="n">
        <x:f>IF(F12="","",FLOOR(INT(F12*'Price rules'!$B$8),'Price rules'!$B$9)+IF(MOD(INT(F12*'Price rules'!$B$8),'Price rules'!$B$9)&lt;'Price rules'!$B$10,0,'Price rules'!$B$9))</x:f>
        <x:v>540</x:v>
      </x:c>
      <x:c r="J12" s="30" t="n">
        <x:f>IF(N12="conditional","",SUMIFS($F$5:$F$394,$A$5:$A$394,A12,$C$5:$C$394,C12,$D$5:$D$394,"&lt;="&amp;D12)+SUMIF(Towers!$A$5:$A$30,A12,Towers!$E$5:$E$30))</x:f>
        <x:v>940</x:v>
      </x:c>
      <x:c r="K12" s="30" t="n">
        <x:v>2000</x:v>
      </x:c>
      <x:c r="L12" s="25" t="str">
        <x:v>basic_dps</x:v>
      </x:c>
      <x:c r="M12" s="25" t="str">
        <x:v>Throws three darts per attack.</x:v>
      </x:c>
      <x:c r="N12" s="25" t="str">
        <x:v>fixed_upgrade_price</x:v>
      </x:c>
      <x:c r="O12" s="30" t="n">
        <x:v>450</x:v>
      </x:c>
      <x:c r="P12" s="25" t="str">
        <x:v>https://raw.githubusercontent.com/Btd6ModHelper/btd6-game-data/main/Towers/DartMonkey/DartMonkey-030.json</x:v>
      </x:c>
      <x:c r="Q12" s="25" t="str">
        <x:v>https://raw.githubusercontent.com/hemisemidemipresent/cyberquincy/master/jsons/costs.json</x:v>
      </x:c>
      <x:c r="R12" s="25" t="str">
        <x:v>https://raw.githubusercontent.com/Btd6ModHelper/btd6-game-data/main/textTable.json</x:v>
      </x:c>
      <x:c r="S12" s="25" t="str">
        <x:v>https://www.bloonswiki.com/Dart_Monkey_(BTD6)</x:v>
      </x:c>
      <x:c r="T12" s="25" t="str">
        <x:v>48.0</x:v>
      </x:c>
    </x:row>
    <x:row r="13" ht="64" customHeight="1">
      <x:c r="A13" s="25" t="str">
        <x:v>Dart Monkey</x:v>
      </x:c>
      <x:c r="B13" s="80" t="str">
        <x:v>040</x:v>
      </x:c>
      <x:c r="C13" s="25" t="str">
        <x:v>middle</x:v>
      </x:c>
      <x:c r="D13" s="25" t="n">
        <x:v>4</x:v>
      </x:c>
      <x:c r="E13" s="25" t="str">
        <x:v>Super Monkey Fan Club</x:v>
      </x:c>
      <x:c r="F13" s="30" t="n">
        <x:v>7200</x:v>
      </x:c>
      <x:c r="G13" s="30" t="n">
        <x:f>IF(F13="","",FLOOR(INT(F13*'Price rules'!$B$5),'Price rules'!$B$9)+IF(MOD(INT(F13*'Price rules'!$B$5),'Price rules'!$B$9)&lt;'Price rules'!$B$10,0,'Price rules'!$B$9))</x:f>
        <x:v>6120</x:v>
      </x:c>
      <x:c r="H13" s="30" t="n">
        <x:f>IF(F13="","",FLOOR(INT(F13*'Price rules'!$B$7),'Price rules'!$B$9)+IF(MOD(INT(F13*'Price rules'!$B$7),'Price rules'!$B$9)&lt;'Price rules'!$B$10,0,'Price rules'!$B$9))</x:f>
        <x:v>7775</x:v>
      </x:c>
      <x:c r="I13" s="30" t="n">
        <x:f>IF(F13="","",FLOOR(INT(F13*'Price rules'!$B$8),'Price rules'!$B$9)+IF(MOD(INT(F13*'Price rules'!$B$8),'Price rules'!$B$9)&lt;'Price rules'!$B$10,0,'Price rules'!$B$9))</x:f>
        <x:v>8640</x:v>
      </x:c>
      <x:c r="J13" s="30" t="n">
        <x:f>IF(N13="conditional","",SUMIFS($F$5:$F$394,$A$5:$A$394,A13,$C$5:$C$394,C13,$D$5:$D$394,"&lt;="&amp;D13)+SUMIF(Towers!$A$5:$A$30,A13,Towers!$E$5:$E$30))</x:f>
        <x:v>8140</x:v>
      </x:c>
      <x:c r="K13" s="30" t="n">
        <x:v>9500</x:v>
      </x:c>
      <x:c r="L13" s="25" t="str">
        <x:v>support</x:v>
      </x:c>
      <x:c r="M13" s="25" t="str">
        <x:v>Temporarily transforms up to ten nearby Dart Monkeys; also improves regular attack speed.</x:v>
      </x:c>
      <x:c r="N13" s="25" t="str">
        <x:v>fixed_upgrade_price</x:v>
      </x:c>
      <x:c r="O13" s="30" t="n">
        <x:v>7200</x:v>
      </x:c>
      <x:c r="P13" s="25" t="str">
        <x:v>https://raw.githubusercontent.com/Btd6ModHelper/btd6-game-data/main/Towers/DartMonkey/DartMonkey-040.json</x:v>
      </x:c>
      <x:c r="Q13" s="25" t="str">
        <x:v>https://raw.githubusercontent.com/hemisemidemipresent/cyberquincy/master/jsons/costs.json</x:v>
      </x:c>
      <x:c r="R13" s="25" t="str">
        <x:v>https://raw.githubusercontent.com/Btd6ModHelper/btd6-game-data/main/textTable.json</x:v>
      </x:c>
      <x:c r="S13" s="25" t="str">
        <x:v>https://www.bloonswiki.com/Dart_Monkey_(BTD6)</x:v>
      </x:c>
      <x:c r="T13" s="25" t="str">
        <x:v>48.0</x:v>
      </x:c>
    </x:row>
    <x:row r="14" ht="64" customHeight="1">
      <x:c r="A14" s="25" t="str">
        <x:v>Dart Monkey</x:v>
      </x:c>
      <x:c r="B14" s="80" t="str">
        <x:v>050</x:v>
      </x:c>
      <x:c r="C14" s="25" t="str">
        <x:v>middle</x:v>
      </x:c>
      <x:c r="D14" s="25" t="n">
        <x:v>5</x:v>
      </x:c>
      <x:c r="E14" s="25" t="str">
        <x:v>Plasma Monkey Fan Club</x:v>
      </x:c>
      <x:c r="F14" s="30" t="n">
        <x:v>45000</x:v>
      </x:c>
      <x:c r="G14" s="30" t="n">
        <x:f>IF(F14="","",FLOOR(INT(F14*'Price rules'!$B$5),'Price rules'!$B$9)+IF(MOD(INT(F14*'Price rules'!$B$5),'Price rules'!$B$9)&lt;'Price rules'!$B$10,0,'Price rules'!$B$9))</x:f>
        <x:v>38250</x:v>
      </x:c>
      <x:c r="H14" s="30" t="n">
        <x:f>IF(F14="","",FLOOR(INT(F14*'Price rules'!$B$7),'Price rules'!$B$9)+IF(MOD(INT(F14*'Price rules'!$B$7),'Price rules'!$B$9)&lt;'Price rules'!$B$10,0,'Price rules'!$B$9))</x:f>
        <x:v>48600</x:v>
      </x:c>
      <x:c r="I14" s="30" t="n">
        <x:f>IF(F14="","",FLOOR(INT(F14*'Price rules'!$B$8),'Price rules'!$B$9)+IF(MOD(INT(F14*'Price rules'!$B$8),'Price rules'!$B$9)&lt;'Price rules'!$B$10,0,'Price rules'!$B$9))</x:f>
        <x:v>54000</x:v>
      </x:c>
      <x:c r="J14" s="30" t="n">
        <x:f>IF(N14="conditional","",SUMIFS($F$5:$F$394,$A$5:$A$394,A14,$C$5:$C$394,C14,$D$5:$D$394,"&lt;="&amp;D14)+SUMIF(Towers!$A$5:$A$30,A14,Towers!$E$5:$E$30))</x:f>
        <x:v>53140</x:v>
      </x:c>
      <x:c r="K14" s="30" t="n">
        <x:v>30000</x:v>
      </x:c>
      <x:c r="L14" s="25" t="str">
        <x:v>support</x:v>
      </x:c>
      <x:c r="M14" s="25" t="str">
        <x:v>Upgrades the temporary Dart Monkey transformation to plasma attacks.</x:v>
      </x:c>
      <x:c r="N14" s="25" t="str">
        <x:v>fixed_upgrade_price</x:v>
      </x:c>
      <x:c r="O14" s="30" t="n">
        <x:v>45000</x:v>
      </x:c>
      <x:c r="P14" s="25" t="str">
        <x:v>https://raw.githubusercontent.com/Btd6ModHelper/btd6-game-data/main/Towers/DartMonkey/DartMonkey-050.json</x:v>
      </x:c>
      <x:c r="Q14" s="25" t="str">
        <x:v>https://raw.githubusercontent.com/hemisemidemipresent/cyberquincy/master/jsons/costs.json</x:v>
      </x:c>
      <x:c r="R14" s="25" t="str">
        <x:v>https://raw.githubusercontent.com/Btd6ModHelper/btd6-game-data/main/textTable.json</x:v>
      </x:c>
      <x:c r="S14" s="25" t="str">
        <x:v>https://www.bloonswiki.com/Dart_Monkey_(BTD6)</x:v>
      </x:c>
      <x:c r="T14" s="25" t="str">
        <x:v>48.0</x:v>
      </x:c>
    </x:row>
    <x:row r="15" ht="64" customHeight="1">
      <x:c r="A15" s="25" t="str">
        <x:v>Dart Monkey</x:v>
      </x:c>
      <x:c r="B15" s="80" t="str">
        <x:v>001</x:v>
      </x:c>
      <x:c r="C15" s="25" t="str">
        <x:v>bottom</x:v>
      </x:c>
      <x:c r="D15" s="25" t="n">
        <x:v>1</x:v>
      </x:c>
      <x:c r="E15" s="25" t="str">
        <x:v>Long Range Darts</x:v>
      </x:c>
      <x:c r="F15" s="30" t="n">
        <x:v>90</x:v>
      </x:c>
      <x:c r="G15" s="30" t="n">
        <x:f>IF(F15="","",FLOOR(INT(F15*'Price rules'!$B$5),'Price rules'!$B$9)+IF(MOD(INT(F15*'Price rules'!$B$5),'Price rules'!$B$9)&lt;'Price rules'!$B$10,0,'Price rules'!$B$9))</x:f>
        <x:v>75</x:v>
      </x:c>
      <x:c r="H15" s="30" t="n">
        <x:f>IF(F15="","",FLOOR(INT(F15*'Price rules'!$B$7),'Price rules'!$B$9)+IF(MOD(INT(F15*'Price rules'!$B$7),'Price rules'!$B$9)&lt;'Price rules'!$B$10,0,'Price rules'!$B$9))</x:f>
        <x:v>95</x:v>
      </x:c>
      <x:c r="I15" s="30" t="n">
        <x:f>IF(F15="","",FLOOR(INT(F15*'Price rules'!$B$8),'Price rules'!$B$9)+IF(MOD(INT(F15*'Price rules'!$B$8),'Price rules'!$B$9)&lt;'Price rules'!$B$10,0,'Price rules'!$B$9))</x:f>
        <x:v>110</x:v>
      </x:c>
      <x:c r="J15" s="30" t="n">
        <x:f>IF(N15="conditional","",SUMIFS($F$5:$F$394,$A$5:$A$394,A15,$C$5:$C$394,C15,$D$5:$D$394,"&lt;="&amp;D15)+SUMIF(Towers!$A$5:$A$30,A15,Towers!$E$5:$E$30))</x:f>
        <x:v>290</x:v>
      </x:c>
      <x:c r="K15" s="30" t="n">
        <x:v>50</x:v>
      </x:c>
      <x:c r="L15" s="25" t="str">
        <x:v>basic_dps</x:v>
      </x:c>
      <x:c r="M15" s="25" t="str">
        <x:v>Increases attack range.</x:v>
      </x:c>
      <x:c r="N15" s="25" t="str">
        <x:v>fixed_upgrade_price</x:v>
      </x:c>
      <x:c r="O15" s="30" t="n">
        <x:v>90</x:v>
      </x:c>
      <x:c r="P15" s="25" t="str">
        <x:v>https://raw.githubusercontent.com/Btd6ModHelper/btd6-game-data/main/Towers/DartMonkey/DartMonkey-001.json</x:v>
      </x:c>
      <x:c r="Q15" s="25" t="str">
        <x:v>https://raw.githubusercontent.com/hemisemidemipresent/cyberquincy/master/jsons/costs.json</x:v>
      </x:c>
      <x:c r="R15" s="25" t="str">
        <x:v>https://raw.githubusercontent.com/Btd6ModHelper/btd6-game-data/main/textTable.json</x:v>
      </x:c>
      <x:c r="S15" s="25" t="str">
        <x:v>https://www.bloonswiki.com/Dart_Monkey_(BTD6)</x:v>
      </x:c>
      <x:c r="T15" s="25" t="str">
        <x:v>48.0</x:v>
      </x:c>
    </x:row>
    <x:row r="16" ht="64" customHeight="1">
      <x:c r="A16" s="25" t="str">
        <x:v>Dart Monkey</x:v>
      </x:c>
      <x:c r="B16" s="80" t="str">
        <x:v>002</x:v>
      </x:c>
      <x:c r="C16" s="25" t="str">
        <x:v>bottom</x:v>
      </x:c>
      <x:c r="D16" s="25" t="n">
        <x:v>2</x:v>
      </x:c>
      <x:c r="E16" s="25" t="str">
        <x:v>Enhanced Eyesight</x:v>
      </x:c>
      <x:c r="F16" s="30" t="n">
        <x:v>200</x:v>
      </x:c>
      <x:c r="G16" s="30" t="n">
        <x:f>IF(F16="","",FLOOR(INT(F16*'Price rules'!$B$5),'Price rules'!$B$9)+IF(MOD(INT(F16*'Price rules'!$B$5),'Price rules'!$B$9)&lt;'Price rules'!$B$10,0,'Price rules'!$B$9))</x:f>
        <x:v>170</x:v>
      </x:c>
      <x:c r="H16" s="30" t="n">
        <x:f>IF(F16="","",FLOOR(INT(F16*'Price rules'!$B$7),'Price rules'!$B$9)+IF(MOD(INT(F16*'Price rules'!$B$7),'Price rules'!$B$9)&lt;'Price rules'!$B$10,0,'Price rules'!$B$9))</x:f>
        <x:v>215</x:v>
      </x:c>
      <x:c r="I16" s="30" t="n">
        <x:f>IF(F16="","",FLOOR(INT(F16*'Price rules'!$B$8),'Price rules'!$B$9)+IF(MOD(INT(F16*'Price rules'!$B$8),'Price rules'!$B$9)&lt;'Price rules'!$B$10,0,'Price rules'!$B$9))</x:f>
        <x:v>240</x:v>
      </x:c>
      <x:c r="J16" s="30" t="n">
        <x:f>IF(N16="conditional","",SUMIFS($F$5:$F$394,$A$5:$A$394,A16,$C$5:$C$394,C16,$D$5:$D$394,"&lt;="&amp;D16)+SUMIF(Towers!$A$5:$A$30,A16,Towers!$E$5:$E$30))</x:f>
        <x:v>490</x:v>
      </x:c>
      <x:c r="K16" s="30" t="n">
        <x:v>450</x:v>
      </x:c>
      <x:c r="L16" s="25" t="str">
        <x:v>basic_dps</x:v>
      </x:c>
      <x:c r="M16" s="25" t="str">
        <x:v>Adds more range and Camo detection.</x:v>
      </x:c>
      <x:c r="N16" s="25" t="str">
        <x:v>fixed_upgrade_price</x:v>
      </x:c>
      <x:c r="O16" s="30" t="n">
        <x:v>200</x:v>
      </x:c>
      <x:c r="P16" s="25" t="str">
        <x:v>https://raw.githubusercontent.com/Btd6ModHelper/btd6-game-data/main/Towers/DartMonkey/DartMonkey-002.json</x:v>
      </x:c>
      <x:c r="Q16" s="25" t="str">
        <x:v>https://raw.githubusercontent.com/hemisemidemipresent/cyberquincy/master/jsons/costs.json</x:v>
      </x:c>
      <x:c r="R16" s="25" t="str">
        <x:v>https://raw.githubusercontent.com/Btd6ModHelper/btd6-game-data/main/textTable.json</x:v>
      </x:c>
      <x:c r="S16" s="25" t="str">
        <x:v>https://www.bloonswiki.com/Dart_Monkey_(BTD6)</x:v>
      </x:c>
      <x:c r="T16" s="25" t="str">
        <x:v>48.0</x:v>
      </x:c>
    </x:row>
    <x:row r="17" ht="64" customHeight="1">
      <x:c r="A17" s="25" t="str">
        <x:v>Dart Monkey</x:v>
      </x:c>
      <x:c r="B17" s="80" t="str">
        <x:v>003</x:v>
      </x:c>
      <x:c r="C17" s="25" t="str">
        <x:v>bottom</x:v>
      </x:c>
      <x:c r="D17" s="25" t="n">
        <x:v>3</x:v>
      </x:c>
      <x:c r="E17" s="25" t="str">
        <x:v>Crossbow</x:v>
      </x:c>
      <x:c r="F17" s="30" t="n">
        <x:v>575</x:v>
      </x:c>
      <x:c r="G17" s="30" t="n">
        <x:f>IF(F17="","",FLOOR(INT(F17*'Price rules'!$B$5),'Price rules'!$B$9)+IF(MOD(INT(F17*'Price rules'!$B$5),'Price rules'!$B$9)&lt;'Price rules'!$B$10,0,'Price rules'!$B$9))</x:f>
        <x:v>490</x:v>
      </x:c>
      <x:c r="H17" s="30" t="n">
        <x:f>IF(F17="","",FLOOR(INT(F17*'Price rules'!$B$7),'Price rules'!$B$9)+IF(MOD(INT(F17*'Price rules'!$B$7),'Price rules'!$B$9)&lt;'Price rules'!$B$10,0,'Price rules'!$B$9))</x:f>
        <x:v>620</x:v>
      </x:c>
      <x:c r="I17" s="30" t="n">
        <x:f>IF(F17="","",FLOOR(INT(F17*'Price rules'!$B$8),'Price rules'!$B$9)+IF(MOD(INT(F17*'Price rules'!$B$8),'Price rules'!$B$9)&lt;'Price rules'!$B$10,0,'Price rules'!$B$9))</x:f>
        <x:v>690</x:v>
      </x:c>
      <x:c r="J17" s="30" t="n">
        <x:f>IF(N17="conditional","",SUMIFS($F$5:$F$394,$A$5:$A$394,A17,$C$5:$C$394,C17,$D$5:$D$394,"&lt;="&amp;D17)+SUMIF(Towers!$A$5:$A$30,A17,Towers!$E$5:$E$30))</x:f>
        <x:v>1065</x:v>
      </x:c>
      <x:c r="K17" s="30" t="n">
        <x:v>1900</x:v>
      </x:c>
      <x:c r="L17" s="25" t="str">
        <x:v>sniper</x:v>
      </x:c>
      <x:c r="M17" s="25" t="str">
        <x:v>Changes the weapon to a long-range crossbow with three damage per hit.</x:v>
      </x:c>
      <x:c r="N17" s="25" t="str">
        <x:v>fixed_upgrade_price</x:v>
      </x:c>
      <x:c r="O17" s="30" t="n">
        <x:v>575</x:v>
      </x:c>
      <x:c r="P17" s="25" t="str">
        <x:v>https://raw.githubusercontent.com/Btd6ModHelper/btd6-game-data/main/Towers/DartMonkey/DartMonkey-003.json</x:v>
      </x:c>
      <x:c r="Q17" s="25" t="str">
        <x:v>https://raw.githubusercontent.com/hemisemidemipresent/cyberquincy/master/jsons/costs.json</x:v>
      </x:c>
      <x:c r="R17" s="25" t="str">
        <x:v>https://raw.githubusercontent.com/Btd6ModHelper/btd6-game-data/main/textTable.json</x:v>
      </x:c>
      <x:c r="S17" s="25" t="str">
        <x:v>https://www.bloonswiki.com/Dart_Monkey_(BTD6)</x:v>
      </x:c>
      <x:c r="T17" s="25" t="str">
        <x:v>48.0</x:v>
      </x:c>
    </x:row>
    <x:row r="18" ht="64" customHeight="1">
      <x:c r="A18" s="25" t="str">
        <x:v>Dart Monkey</x:v>
      </x:c>
      <x:c r="B18" s="80" t="str">
        <x:v>004</x:v>
      </x:c>
      <x:c r="C18" s="25" t="str">
        <x:v>bottom</x:v>
      </x:c>
      <x:c r="D18" s="25" t="n">
        <x:v>4</x:v>
      </x:c>
      <x:c r="E18" s="25" t="str">
        <x:v>Sharp Shooter</x:v>
      </x:c>
      <x:c r="F18" s="30" t="n">
        <x:v>2050</x:v>
      </x:c>
      <x:c r="G18" s="30" t="n">
        <x:f>IF(F18="","",FLOOR(INT(F18*'Price rules'!$B$5),'Price rules'!$B$9)+IF(MOD(INT(F18*'Price rules'!$B$5),'Price rules'!$B$9)&lt;'Price rules'!$B$10,0,'Price rules'!$B$9))</x:f>
        <x:v>1740</x:v>
      </x:c>
      <x:c r="H18" s="30" t="n">
        <x:f>IF(F18="","",FLOOR(INT(F18*'Price rules'!$B$7),'Price rules'!$B$9)+IF(MOD(INT(F18*'Price rules'!$B$7),'Price rules'!$B$9)&lt;'Price rules'!$B$10,0,'Price rules'!$B$9))</x:f>
        <x:v>2215</x:v>
      </x:c>
      <x:c r="I18" s="30" t="n">
        <x:f>IF(F18="","",FLOOR(INT(F18*'Price rules'!$B$8),'Price rules'!$B$9)+IF(MOD(INT(F18*'Price rules'!$B$8),'Price rules'!$B$9)&lt;'Price rules'!$B$10,0,'Price rules'!$B$9))</x:f>
        <x:v>2460</x:v>
      </x:c>
      <x:c r="J18" s="30" t="n">
        <x:f>IF(N18="conditional","",SUMIFS($F$5:$F$394,$A$5:$A$394,A18,$C$5:$C$394,C18,$D$5:$D$394,"&lt;="&amp;D18)+SUMIF(Towers!$A$5:$A$30,A18,Towers!$E$5:$E$30))</x:f>
        <x:v>3115</x:v>
      </x:c>
      <x:c r="K18" s="30" t="n">
        <x:v>12000</x:v>
      </x:c>
      <x:c r="L18" s="25" t="str">
        <x:v>sniper</x:v>
      </x:c>
      <x:c r="M18" s="25" t="str">
        <x:v>Adds faster attacks and periodic critical hits.</x:v>
      </x:c>
      <x:c r="N18" s="25" t="str">
        <x:v>fixed_upgrade_price</x:v>
      </x:c>
      <x:c r="O18" s="30" t="n">
        <x:v>2050</x:v>
      </x:c>
      <x:c r="P18" s="25" t="str">
        <x:v>https://raw.githubusercontent.com/Btd6ModHelper/btd6-game-data/main/Towers/DartMonkey/DartMonkey-004.json</x:v>
      </x:c>
      <x:c r="Q18" s="25" t="str">
        <x:v>https://raw.githubusercontent.com/hemisemidemipresent/cyberquincy/master/jsons/costs.json</x:v>
      </x:c>
      <x:c r="R18" s="25" t="str">
        <x:v>https://raw.githubusercontent.com/Btd6ModHelper/btd6-game-data/main/textTable.json</x:v>
      </x:c>
      <x:c r="S18" s="25" t="str">
        <x:v>https://www.bloonswiki.com/Dart_Monkey_(BTD6)</x:v>
      </x:c>
      <x:c r="T18" s="25" t="str">
        <x:v>48.0</x:v>
      </x:c>
    </x:row>
    <x:row r="19" ht="64" customHeight="1">
      <x:c r="A19" s="25" t="str">
        <x:v>Dart Monkey</x:v>
      </x:c>
      <x:c r="B19" s="80" t="str">
        <x:v>005</x:v>
      </x:c>
      <x:c r="C19" s="25" t="str">
        <x:v>bottom</x:v>
      </x:c>
      <x:c r="D19" s="25" t="n">
        <x:v>5</x:v>
      </x:c>
      <x:c r="E19" s="25" t="str">
        <x:v>Crossbow Master</x:v>
      </x:c>
      <x:c r="F19" s="30" t="n">
        <x:v>21500</x:v>
      </x:c>
      <x:c r="G19" s="30" t="n">
        <x:f>IF(F19="","",FLOOR(INT(F19*'Price rules'!$B$5),'Price rules'!$B$9)+IF(MOD(INT(F19*'Price rules'!$B$5),'Price rules'!$B$9)&lt;'Price rules'!$B$10,0,'Price rules'!$B$9))</x:f>
        <x:v>18275</x:v>
      </x:c>
      <x:c r="H19" s="30" t="n">
        <x:f>IF(F19="","",FLOOR(INT(F19*'Price rules'!$B$7),'Price rules'!$B$9)+IF(MOD(INT(F19*'Price rules'!$B$7),'Price rules'!$B$9)&lt;'Price rules'!$B$10,0,'Price rules'!$B$9))</x:f>
        <x:v>23220</x:v>
      </x:c>
      <x:c r="I19" s="30" t="n">
        <x:f>IF(F19="","",FLOOR(INT(F19*'Price rules'!$B$8),'Price rules'!$B$9)+IF(MOD(INT(F19*'Price rules'!$B$8),'Price rules'!$B$9)&lt;'Price rules'!$B$10,0,'Price rules'!$B$9))</x:f>
        <x:v>25800</x:v>
      </x:c>
      <x:c r="J19" s="30" t="n">
        <x:f>IF(N19="conditional","",SUMIFS($F$5:$F$394,$A$5:$A$394,A19,$C$5:$C$394,C19,$D$5:$D$394,"&lt;="&amp;D19)+SUMIF(Towers!$A$5:$A$30,A19,Towers!$E$5:$E$30))</x:f>
        <x:v>24615</x:v>
      </x:c>
      <x:c r="K19" s="30" t="n">
        <x:v>35000</x:v>
      </x:c>
      <x:c r="L19" s="25" t="str">
        <x:v>sniper</x:v>
      </x:c>
      <x:c r="M19" s="25" t="str">
        <x:v>Further improves firing speed and critical-hit damage.</x:v>
      </x:c>
      <x:c r="N19" s="25" t="str">
        <x:v>fixed_upgrade_price</x:v>
      </x:c>
      <x:c r="O19" s="30" t="n">
        <x:v>21500</x:v>
      </x:c>
      <x:c r="P19" s="25" t="str">
        <x:v>https://raw.githubusercontent.com/Btd6ModHelper/btd6-game-data/main/Towers/DartMonkey/DartMonkey-005.json</x:v>
      </x:c>
      <x:c r="Q19" s="25" t="str">
        <x:v>https://raw.githubusercontent.com/hemisemidemipresent/cyberquincy/master/jsons/costs.json</x:v>
      </x:c>
      <x:c r="R19" s="25" t="str">
        <x:v>https://raw.githubusercontent.com/Btd6ModHelper/btd6-game-data/main/textTable.json</x:v>
      </x:c>
      <x:c r="S19" s="25" t="str">
        <x:v>https://www.bloonswiki.com/Dart_Monkey_(BTD6)</x:v>
      </x:c>
      <x:c r="T19" s="25" t="str">
        <x:v>48.0</x:v>
      </x:c>
    </x:row>
    <x:row r="20" ht="64" customHeight="1">
      <x:c r="A20" s="25" t="str">
        <x:v>Boomerang Monkey</x:v>
      </x:c>
      <x:c r="B20" s="80" t="str">
        <x:v>100</x:v>
      </x:c>
      <x:c r="C20" s="25" t="str">
        <x:v>top</x:v>
      </x:c>
      <x:c r="D20" s="25" t="n">
        <x:v>1</x:v>
      </x:c>
      <x:c r="E20" s="25" t="str">
        <x:v>Improved Rangs</x:v>
      </x:c>
      <x:c r="F20" s="30" t="n">
        <x:v>200</x:v>
      </x:c>
      <x:c r="G20" s="30" t="n">
        <x:f>IF(F20="","",FLOOR(INT(F20*'Price rules'!$B$5),'Price rules'!$B$9)+IF(MOD(INT(F20*'Price rules'!$B$5),'Price rules'!$B$9)&lt;'Price rules'!$B$10,0,'Price rules'!$B$9))</x:f>
        <x:v>170</x:v>
      </x:c>
      <x:c r="H20" s="30" t="n">
        <x:f>IF(F20="","",FLOOR(INT(F20*'Price rules'!$B$7),'Price rules'!$B$9)+IF(MOD(INT(F20*'Price rules'!$B$7),'Price rules'!$B$9)&lt;'Price rules'!$B$10,0,'Price rules'!$B$9))</x:f>
        <x:v>215</x:v>
      </x:c>
      <x:c r="I20" s="30" t="n">
        <x:f>IF(F20="","",FLOOR(INT(F20*'Price rules'!$B$8),'Price rules'!$B$9)+IF(MOD(INT(F20*'Price rules'!$B$8),'Price rules'!$B$9)&lt;'Price rules'!$B$10,0,'Price rules'!$B$9))</x:f>
        <x:v>240</x:v>
      </x:c>
      <x:c r="J20" s="30" t="n">
        <x:f>IF(N20="conditional","",SUMIFS($F$5:$F$394,$A$5:$A$394,A20,$C$5:$C$394,C20,$D$5:$D$394,"&lt;="&amp;D20)+SUMIF(Towers!$A$5:$A$30,A20,Towers!$E$5:$E$30))</x:f>
        <x:v>515</x:v>
      </x:c>
      <x:c r="K20" s="30"/>
      <x:c r="L20" s="25" t="str">
        <x:v>basic_dps</x:v>
      </x:c>
      <x:c r="M20" s="25" t="str">
        <x:v>Raises the number of targets each throw can hit to eight.</x:v>
      </x:c>
      <x:c r="N20" s="25" t="str">
        <x:v>fixed_upgrade_price</x:v>
      </x:c>
      <x:c r="O20" s="30" t="n">
        <x:v>200</x:v>
      </x:c>
      <x:c r="P20" s="25" t="str">
        <x:v>https://raw.githubusercontent.com/Btd6ModHelper/btd6-game-data/main/Towers/BoomerangMonkey/BoomerangMonkey-100.json</x:v>
      </x:c>
      <x:c r="Q20" s="25" t="str">
        <x:v>https://raw.githubusercontent.com/hemisemidemipresent/cyberquincy/master/jsons/costs.json</x:v>
      </x:c>
      <x:c r="R20" s="25" t="str">
        <x:v>https://raw.githubusercontent.com/Btd6ModHelper/btd6-game-data/main/textTable.json</x:v>
      </x:c>
      <x:c r="S20" s="25"/>
      <x:c r="T20" s="25"/>
    </x:row>
    <x:row r="21" ht="64" customHeight="1">
      <x:c r="A21" s="25" t="str">
        <x:v>Boomerang Monkey</x:v>
      </x:c>
      <x:c r="B21" s="80" t="str">
        <x:v>200</x:v>
      </x:c>
      <x:c r="C21" s="25" t="str">
        <x:v>top</x:v>
      </x:c>
      <x:c r="D21" s="25" t="n">
        <x:v>2</x:v>
      </x:c>
      <x:c r="E21" s="25" t="str">
        <x:v>Glaives</x:v>
      </x:c>
      <x:c r="F21" s="30" t="n">
        <x:v>280</x:v>
      </x:c>
      <x:c r="G21" s="30" t="n">
        <x:f>IF(F21="","",FLOOR(INT(F21*'Price rules'!$B$5),'Price rules'!$B$9)+IF(MOD(INT(F21*'Price rules'!$B$5),'Price rules'!$B$9)&lt;'Price rules'!$B$10,0,'Price rules'!$B$9))</x:f>
        <x:v>240</x:v>
      </x:c>
      <x:c r="H21" s="30" t="n">
        <x:f>IF(F21="","",FLOOR(INT(F21*'Price rules'!$B$7),'Price rules'!$B$9)+IF(MOD(INT(F21*'Price rules'!$B$7),'Price rules'!$B$9)&lt;'Price rules'!$B$10,0,'Price rules'!$B$9))</x:f>
        <x:v>300</x:v>
      </x:c>
      <x:c r="I21" s="30" t="n">
        <x:f>IF(F21="","",FLOOR(INT(F21*'Price rules'!$B$8),'Price rules'!$B$9)+IF(MOD(INT(F21*'Price rules'!$B$8),'Price rules'!$B$9)&lt;'Price rules'!$B$10,0,'Price rules'!$B$9))</x:f>
        <x:v>335</x:v>
      </x:c>
      <x:c r="J21" s="30" t="n">
        <x:f>IF(N21="conditional","",SUMIFS($F$5:$F$394,$A$5:$A$394,A21,$C$5:$C$394,C21,$D$5:$D$394,"&lt;="&amp;D21)+SUMIF(Towers!$A$5:$A$30,A21,Towers!$E$5:$E$30))</x:f>
        <x:v>795</x:v>
      </x:c>
      <x:c r="K21" s="30"/>
      <x:c r="L21" s="25" t="str">
        <x:v>basic_dps</x:v>
      </x:c>
      <x:c r="M21" s="25" t="str">
        <x:v>Uses larger, faster projectiles with more pierce.</x:v>
      </x:c>
      <x:c r="N21" s="25" t="str">
        <x:v>fixed_upgrade_price</x:v>
      </x:c>
      <x:c r="O21" s="30" t="n">
        <x:v>280</x:v>
      </x:c>
      <x:c r="P21" s="25" t="str">
        <x:v>https://raw.githubusercontent.com/Btd6ModHelper/btd6-game-data/main/Towers/BoomerangMonkey/BoomerangMonkey-200.json</x:v>
      </x:c>
      <x:c r="Q21" s="25" t="str">
        <x:v>https://raw.githubusercontent.com/hemisemidemipresent/cyberquincy/master/jsons/costs.json</x:v>
      </x:c>
      <x:c r="R21" s="25" t="str">
        <x:v>https://raw.githubusercontent.com/Btd6ModHelper/btd6-game-data/main/textTable.json</x:v>
      </x:c>
      <x:c r="S21" s="25"/>
      <x:c r="T21" s="25"/>
    </x:row>
    <x:row r="22" ht="64" customHeight="1">
      <x:c r="A22" s="25" t="str">
        <x:v>Boomerang Monkey</x:v>
      </x:c>
      <x:c r="B22" s="80" t="str">
        <x:v>300</x:v>
      </x:c>
      <x:c r="C22" s="25" t="str">
        <x:v>top</x:v>
      </x:c>
      <x:c r="D22" s="25" t="n">
        <x:v>3</x:v>
      </x:c>
      <x:c r="E22" s="25" t="str">
        <x:v>Glaive Ricochet</x:v>
      </x:c>
      <x:c r="F22" s="30" t="n">
        <x:v>600</x:v>
      </x:c>
      <x:c r="G22" s="30" t="n">
        <x:f>IF(F22="","",FLOOR(INT(F22*'Price rules'!$B$5),'Price rules'!$B$9)+IF(MOD(INT(F22*'Price rules'!$B$5),'Price rules'!$B$9)&lt;'Price rules'!$B$10,0,'Price rules'!$B$9))</x:f>
        <x:v>510</x:v>
      </x:c>
      <x:c r="H22" s="30" t="n">
        <x:f>IF(F22="","",FLOOR(INT(F22*'Price rules'!$B$7),'Price rules'!$B$9)+IF(MOD(INT(F22*'Price rules'!$B$7),'Price rules'!$B$9)&lt;'Price rules'!$B$10,0,'Price rules'!$B$9))</x:f>
        <x:v>650</x:v>
      </x:c>
      <x:c r="I22" s="30" t="n">
        <x:f>IF(F22="","",FLOOR(INT(F22*'Price rules'!$B$8),'Price rules'!$B$9)+IF(MOD(INT(F22*'Price rules'!$B$8),'Price rules'!$B$9)&lt;'Price rules'!$B$10,0,'Price rules'!$B$9))</x:f>
        <x:v>720</x:v>
      </x:c>
      <x:c r="J22" s="30" t="n">
        <x:f>IF(N22="conditional","",SUMIFS($F$5:$F$394,$A$5:$A$394,A22,$C$5:$C$394,C22,$D$5:$D$394,"&lt;="&amp;D22)+SUMIF(Towers!$A$5:$A$30,A22,Towers!$E$5:$E$30))</x:f>
        <x:v>1395</x:v>
      </x:c>
      <x:c r="K22" s="30"/>
      <x:c r="L22" s="25" t="str">
        <x:v>splash</x:v>
      </x:c>
      <x:c r="M22" s="25" t="str">
        <x:v>Glaives jump between nearby targets after a hit.</x:v>
      </x:c>
      <x:c r="N22" s="25" t="str">
        <x:v>fixed_upgrade_price</x:v>
      </x:c>
      <x:c r="O22" s="30" t="n">
        <x:v>600</x:v>
      </x:c>
      <x:c r="P22" s="25" t="str">
        <x:v>https://raw.githubusercontent.com/Btd6ModHelper/btd6-game-data/main/Towers/BoomerangMonkey/BoomerangMonkey-300.json</x:v>
      </x:c>
      <x:c r="Q22" s="25" t="str">
        <x:v>https://raw.githubusercontent.com/hemisemidemipresent/cyberquincy/master/jsons/costs.json</x:v>
      </x:c>
      <x:c r="R22" s="25" t="str">
        <x:v>https://raw.githubusercontent.com/Btd6ModHelper/btd6-game-data/main/textTable.json</x:v>
      </x:c>
      <x:c r="S22" s="25"/>
      <x:c r="T22" s="25"/>
    </x:row>
    <x:row r="23" ht="64" customHeight="1">
      <x:c r="A23" s="25" t="str">
        <x:v>Boomerang Monkey</x:v>
      </x:c>
      <x:c r="B23" s="80" t="str">
        <x:v>400</x:v>
      </x:c>
      <x:c r="C23" s="25" t="str">
        <x:v>top</x:v>
      </x:c>
      <x:c r="D23" s="25" t="n">
        <x:v>4</x:v>
      </x:c>
      <x:c r="E23" s="25" t="str">
        <x:v>M.O.A.R Glaives</x:v>
      </x:c>
      <x:c r="F23" s="30" t="n">
        <x:v>2000</x:v>
      </x:c>
      <x:c r="G23" s="30" t="n">
        <x:f>IF(F23="","",FLOOR(INT(F23*'Price rules'!$B$5),'Price rules'!$B$9)+IF(MOD(INT(F23*'Price rules'!$B$5),'Price rules'!$B$9)&lt;'Price rules'!$B$10,0,'Price rules'!$B$9))</x:f>
        <x:v>1700</x:v>
      </x:c>
      <x:c r="H23" s="30" t="n">
        <x:f>IF(F23="","",FLOOR(INT(F23*'Price rules'!$B$7),'Price rules'!$B$9)+IF(MOD(INT(F23*'Price rules'!$B$7),'Price rules'!$B$9)&lt;'Price rules'!$B$10,0,'Price rules'!$B$9))</x:f>
        <x:v>2160</x:v>
      </x:c>
      <x:c r="I23" s="30" t="n">
        <x:f>IF(F23="","",FLOOR(INT(F23*'Price rules'!$B$8),'Price rules'!$B$9)+IF(MOD(INT(F23*'Price rules'!$B$8),'Price rules'!$B$9)&lt;'Price rules'!$B$10,0,'Price rules'!$B$9))</x:f>
        <x:v>2400</x:v>
      </x:c>
      <x:c r="J23" s="30" t="n">
        <x:f>IF(N23="conditional","",SUMIFS($F$5:$F$394,$A$5:$A$394,A23,$C$5:$C$394,C23,$D$5:$D$394,"&lt;="&amp;D23)+SUMIF(Towers!$A$5:$A$30,A23,Towers!$E$5:$E$30))</x:f>
        <x:v>3395</x:v>
      </x:c>
      <x:c r="K23" s="30"/>
      <x:c r="L23" s="25" t="str">
        <x:v>splash</x:v>
      </x:c>
      <x:c r="M23" s="25" t="str">
        <x:v>Improves the attack rate and capacity of ricocheting glaives.</x:v>
      </x:c>
      <x:c r="N23" s="25" t="str">
        <x:v>fixed_upgrade_price</x:v>
      </x:c>
      <x:c r="O23" s="30" t="n">
        <x:v>2000</x:v>
      </x:c>
      <x:c r="P23" s="25" t="str">
        <x:v>https://raw.githubusercontent.com/Btd6ModHelper/btd6-game-data/main/Towers/BoomerangMonkey/BoomerangMonkey-400.json</x:v>
      </x:c>
      <x:c r="Q23" s="25" t="str">
        <x:v>https://raw.githubusercontent.com/hemisemidemipresent/cyberquincy/master/jsons/costs.json</x:v>
      </x:c>
      <x:c r="R23" s="25" t="str">
        <x:v>https://raw.githubusercontent.com/Btd6ModHelper/btd6-game-data/main/textTable.json</x:v>
      </x:c>
      <x:c r="S23" s="25"/>
      <x:c r="T23" s="25"/>
    </x:row>
    <x:row r="24" ht="64" customHeight="1">
      <x:c r="A24" s="25" t="str">
        <x:v>Boomerang Monkey</x:v>
      </x:c>
      <x:c r="B24" s="80" t="str">
        <x:v>500</x:v>
      </x:c>
      <x:c r="C24" s="25" t="str">
        <x:v>top</x:v>
      </x:c>
      <x:c r="D24" s="25" t="n">
        <x:v>5</x:v>
      </x:c>
      <x:c r="E24" s="25" t="str">
        <x:v>Glaive Lord</x:v>
      </x:c>
      <x:c r="F24" s="30" t="n">
        <x:v>32500</x:v>
      </x:c>
      <x:c r="G24" s="30" t="n">
        <x:f>IF(F24="","",FLOOR(INT(F24*'Price rules'!$B$5),'Price rules'!$B$9)+IF(MOD(INT(F24*'Price rules'!$B$5),'Price rules'!$B$9)&lt;'Price rules'!$B$10,0,'Price rules'!$B$9))</x:f>
        <x:v>27625</x:v>
      </x:c>
      <x:c r="H24" s="30" t="n">
        <x:f>IF(F24="","",FLOOR(INT(F24*'Price rules'!$B$7),'Price rules'!$B$9)+IF(MOD(INT(F24*'Price rules'!$B$7),'Price rules'!$B$9)&lt;'Price rules'!$B$10,0,'Price rules'!$B$9))</x:f>
        <x:v>35100</x:v>
      </x:c>
      <x:c r="I24" s="30" t="n">
        <x:f>IF(F24="","",FLOOR(INT(F24*'Price rules'!$B$8),'Price rules'!$B$9)+IF(MOD(INT(F24*'Price rules'!$B$8),'Price rules'!$B$9)&lt;'Price rules'!$B$10,0,'Price rules'!$B$9))</x:f>
        <x:v>39000</x:v>
      </x:c>
      <x:c r="J24" s="30" t="n">
        <x:f>IF(N24="conditional","",SUMIFS($F$5:$F$394,$A$5:$A$394,A24,$C$5:$C$394,C24,$D$5:$D$394,"&lt;="&amp;D24)+SUMIF(Towers!$A$5:$A$30,A24,Towers!$E$5:$E$30))</x:f>
        <x:v>35895</x:v>
      </x:c>
      <x:c r="K24" s="30"/>
      <x:c r="L24" s="25" t="str">
        <x:v>splash</x:v>
      </x:c>
      <x:c r="M24" s="25" t="str">
        <x:v>Adds three orbiting glaives and a damaging effect on MOAB-class targets.</x:v>
      </x:c>
      <x:c r="N24" s="25" t="str">
        <x:v>fixed_upgrade_price</x:v>
      </x:c>
      <x:c r="O24" s="30" t="n">
        <x:v>32500</x:v>
      </x:c>
      <x:c r="P24" s="25" t="str">
        <x:v>https://raw.githubusercontent.com/Btd6ModHelper/btd6-game-data/main/Towers/BoomerangMonkey/BoomerangMonkey-500.json</x:v>
      </x:c>
      <x:c r="Q24" s="25" t="str">
        <x:v>https://raw.githubusercontent.com/hemisemidemipresent/cyberquincy/master/jsons/costs.json</x:v>
      </x:c>
      <x:c r="R24" s="25" t="str">
        <x:v>https://raw.githubusercontent.com/Btd6ModHelper/btd6-game-data/main/textTable.json</x:v>
      </x:c>
      <x:c r="S24" s="25"/>
      <x:c r="T24" s="25"/>
    </x:row>
    <x:row r="25" ht="64" customHeight="1">
      <x:c r="A25" s="25" t="str">
        <x:v>Boomerang Monkey</x:v>
      </x:c>
      <x:c r="B25" s="80" t="str">
        <x:v>010</x:v>
      </x:c>
      <x:c r="C25" s="25" t="str">
        <x:v>middle</x:v>
      </x:c>
      <x:c r="D25" s="25" t="n">
        <x:v>1</x:v>
      </x:c>
      <x:c r="E25" s="25" t="str">
        <x:v>Faster Throwing</x:v>
      </x:c>
      <x:c r="F25" s="30" t="n">
        <x:v>175</x:v>
      </x:c>
      <x:c r="G25" s="30" t="n">
        <x:f>IF(F25="","",FLOOR(INT(F25*'Price rules'!$B$5),'Price rules'!$B$9)+IF(MOD(INT(F25*'Price rules'!$B$5),'Price rules'!$B$9)&lt;'Price rules'!$B$10,0,'Price rules'!$B$9))</x:f>
        <x:v>150</x:v>
      </x:c>
      <x:c r="H25" s="30" t="n">
        <x:f>IF(F25="","",FLOOR(INT(F25*'Price rules'!$B$7),'Price rules'!$B$9)+IF(MOD(INT(F25*'Price rules'!$B$7),'Price rules'!$B$9)&lt;'Price rules'!$B$10,0,'Price rules'!$B$9))</x:f>
        <x:v>190</x:v>
      </x:c>
      <x:c r="I25" s="30" t="n">
        <x:f>IF(F25="","",FLOOR(INT(F25*'Price rules'!$B$8),'Price rules'!$B$9)+IF(MOD(INT(F25*'Price rules'!$B$8),'Price rules'!$B$9)&lt;'Price rules'!$B$10,0,'Price rules'!$B$9))</x:f>
        <x:v>210</x:v>
      </x:c>
      <x:c r="J25" s="30" t="n">
        <x:f>IF(N25="conditional","",SUMIFS($F$5:$F$394,$A$5:$A$394,A25,$C$5:$C$394,C25,$D$5:$D$394,"&lt;="&amp;D25)+SUMIF(Towers!$A$5:$A$30,A25,Towers!$E$5:$E$30))</x:f>
        <x:v>490</x:v>
      </x:c>
      <x:c r="K25" s="30"/>
      <x:c r="L25" s="25" t="str">
        <x:v>basic_dps</x:v>
      </x:c>
      <x:c r="M25" s="25" t="str">
        <x:v>Increases throwing speed.</x:v>
      </x:c>
      <x:c r="N25" s="25" t="str">
        <x:v>fixed_upgrade_price</x:v>
      </x:c>
      <x:c r="O25" s="30" t="n">
        <x:v>175</x:v>
      </x:c>
      <x:c r="P25" s="25" t="str">
        <x:v>https://raw.githubusercontent.com/Btd6ModHelper/btd6-game-data/main/Towers/BoomerangMonkey/BoomerangMonkey-010.json</x:v>
      </x:c>
      <x:c r="Q25" s="25" t="str">
        <x:v>https://raw.githubusercontent.com/hemisemidemipresent/cyberquincy/master/jsons/costs.json</x:v>
      </x:c>
      <x:c r="R25" s="25" t="str">
        <x:v>https://raw.githubusercontent.com/Btd6ModHelper/btd6-game-data/main/textTable.json</x:v>
      </x:c>
      <x:c r="S25" s="25"/>
      <x:c r="T25" s="25"/>
    </x:row>
    <x:row r="26" ht="64" customHeight="1">
      <x:c r="A26" s="25" t="str">
        <x:v>Boomerang Monkey</x:v>
      </x:c>
      <x:c r="B26" s="80" t="str">
        <x:v>020</x:v>
      </x:c>
      <x:c r="C26" s="25" t="str">
        <x:v>middle</x:v>
      </x:c>
      <x:c r="D26" s="25" t="n">
        <x:v>2</x:v>
      </x:c>
      <x:c r="E26" s="25" t="str">
        <x:v>Faster Rangs</x:v>
      </x:c>
      <x:c r="F26" s="30" t="n">
        <x:v>250</x:v>
      </x:c>
      <x:c r="G26" s="30" t="n">
        <x:f>IF(F26="","",FLOOR(INT(F26*'Price rules'!$B$5),'Price rules'!$B$9)+IF(MOD(INT(F26*'Price rules'!$B$5),'Price rules'!$B$9)&lt;'Price rules'!$B$10,0,'Price rules'!$B$9))</x:f>
        <x:v>210</x:v>
      </x:c>
      <x:c r="H26" s="30" t="n">
        <x:f>IF(F26="","",FLOOR(INT(F26*'Price rules'!$B$7),'Price rules'!$B$9)+IF(MOD(INT(F26*'Price rules'!$B$7),'Price rules'!$B$9)&lt;'Price rules'!$B$10,0,'Price rules'!$B$9))</x:f>
        <x:v>270</x:v>
      </x:c>
      <x:c r="I26" s="30" t="n">
        <x:f>IF(F26="","",FLOOR(INT(F26*'Price rules'!$B$8),'Price rules'!$B$9)+IF(MOD(INT(F26*'Price rules'!$B$8),'Price rules'!$B$9)&lt;'Price rules'!$B$10,0,'Price rules'!$B$9))</x:f>
        <x:v>300</x:v>
      </x:c>
      <x:c r="J26" s="30" t="n">
        <x:f>IF(N26="conditional","",SUMIFS($F$5:$F$394,$A$5:$A$394,A26,$C$5:$C$394,C26,$D$5:$D$394,"&lt;="&amp;D26)+SUMIF(Towers!$A$5:$A$30,A26,Towers!$E$5:$E$30))</x:f>
        <x:v>740</x:v>
      </x:c>
      <x:c r="K26" s="30"/>
      <x:c r="L26" s="25" t="str">
        <x:v>basic_dps</x:v>
      </x:c>
      <x:c r="M26" s="25" t="str">
        <x:v>Improves attack speed and projectile speed.</x:v>
      </x:c>
      <x:c r="N26" s="25" t="str">
        <x:v>fixed_upgrade_price</x:v>
      </x:c>
      <x:c r="O26" s="30" t="n">
        <x:v>250</x:v>
      </x:c>
      <x:c r="P26" s="25" t="str">
        <x:v>https://raw.githubusercontent.com/Btd6ModHelper/btd6-game-data/main/Towers/BoomerangMonkey/BoomerangMonkey-020.json</x:v>
      </x:c>
      <x:c r="Q26" s="25" t="str">
        <x:v>https://raw.githubusercontent.com/hemisemidemipresent/cyberquincy/master/jsons/costs.json</x:v>
      </x:c>
      <x:c r="R26" s="25" t="str">
        <x:v>https://raw.githubusercontent.com/Btd6ModHelper/btd6-game-data/main/textTable.json</x:v>
      </x:c>
      <x:c r="S26" s="25"/>
      <x:c r="T26" s="25"/>
    </x:row>
    <x:row r="27" ht="64" customHeight="1">
      <x:c r="A27" s="25" t="str">
        <x:v>Boomerang Monkey</x:v>
      </x:c>
      <x:c r="B27" s="80" t="str">
        <x:v>030</x:v>
      </x:c>
      <x:c r="C27" s="25" t="str">
        <x:v>middle</x:v>
      </x:c>
      <x:c r="D27" s="25" t="n">
        <x:v>3</x:v>
      </x:c>
      <x:c r="E27" s="25" t="str">
        <x:v>Bionic Boomerang</x:v>
      </x:c>
      <x:c r="F27" s="30" t="n">
        <x:v>1250</x:v>
      </x:c>
      <x:c r="G27" s="30" t="n">
        <x:f>IF(F27="","",FLOOR(INT(F27*'Price rules'!$B$5),'Price rules'!$B$9)+IF(MOD(INT(F27*'Price rules'!$B$5),'Price rules'!$B$9)&lt;'Price rules'!$B$10,0,'Price rules'!$B$9))</x:f>
        <x:v>1060</x:v>
      </x:c>
      <x:c r="H27" s="30" t="n">
        <x:f>IF(F27="","",FLOOR(INT(F27*'Price rules'!$B$7),'Price rules'!$B$9)+IF(MOD(INT(F27*'Price rules'!$B$7),'Price rules'!$B$9)&lt;'Price rules'!$B$10,0,'Price rules'!$B$9))</x:f>
        <x:v>1350</x:v>
      </x:c>
      <x:c r="I27" s="30" t="n">
        <x:f>IF(F27="","",FLOOR(INT(F27*'Price rules'!$B$8),'Price rules'!$B$9)+IF(MOD(INT(F27*'Price rules'!$B$8),'Price rules'!$B$9)&lt;'Price rules'!$B$10,0,'Price rules'!$B$9))</x:f>
        <x:v>1500</x:v>
      </x:c>
      <x:c r="J27" s="30" t="n">
        <x:f>IF(N27="conditional","",SUMIFS($F$5:$F$394,$A$5:$A$394,A27,$C$5:$C$394,C27,$D$5:$D$394,"&lt;="&amp;D27)+SUMIF(Towers!$A$5:$A$30,A27,Towers!$E$5:$E$30))</x:f>
        <x:v>1990</x:v>
      </x:c>
      <x:c r="K27" s="30"/>
      <x:c r="L27" s="25" t="str">
        <x:v>rapid_fire</x:v>
      </x:c>
      <x:c r="M27" s="25" t="str">
        <x:v>Greatly increases firing speed and adds MOAB-class damage.</x:v>
      </x:c>
      <x:c r="N27" s="25" t="str">
        <x:v>fixed_upgrade_price</x:v>
      </x:c>
      <x:c r="O27" s="30" t="n">
        <x:v>1250</x:v>
      </x:c>
      <x:c r="P27" s="25" t="str">
        <x:v>https://raw.githubusercontent.com/Btd6ModHelper/btd6-game-data/main/Towers/BoomerangMonkey/BoomerangMonkey-030.json</x:v>
      </x:c>
      <x:c r="Q27" s="25" t="str">
        <x:v>https://raw.githubusercontent.com/hemisemidemipresent/cyberquincy/master/jsons/costs.json</x:v>
      </x:c>
      <x:c r="R27" s="25" t="str">
        <x:v>https://raw.githubusercontent.com/Btd6ModHelper/btd6-game-data/main/textTable.json</x:v>
      </x:c>
      <x:c r="S27" s="25"/>
      <x:c r="T27" s="25"/>
    </x:row>
    <x:row r="28" ht="64" customHeight="1">
      <x:c r="A28" s="25" t="str">
        <x:v>Boomerang Monkey</x:v>
      </x:c>
      <x:c r="B28" s="80" t="str">
        <x:v>040</x:v>
      </x:c>
      <x:c r="C28" s="25" t="str">
        <x:v>middle</x:v>
      </x:c>
      <x:c r="D28" s="25" t="n">
        <x:v>4</x:v>
      </x:c>
      <x:c r="E28" s="25" t="str">
        <x:v>Turbo Charge</x:v>
      </x:c>
      <x:c r="F28" s="30" t="n">
        <x:v>4200</x:v>
      </x:c>
      <x:c r="G28" s="30" t="n">
        <x:f>IF(F28="","",FLOOR(INT(F28*'Price rules'!$B$5),'Price rules'!$B$9)+IF(MOD(INT(F28*'Price rules'!$B$5),'Price rules'!$B$9)&lt;'Price rules'!$B$10,0,'Price rules'!$B$9))</x:f>
        <x:v>3570</x:v>
      </x:c>
      <x:c r="H28" s="30" t="n">
        <x:f>IF(F28="","",FLOOR(INT(F28*'Price rules'!$B$7),'Price rules'!$B$9)+IF(MOD(INT(F28*'Price rules'!$B$7),'Price rules'!$B$9)&lt;'Price rules'!$B$10,0,'Price rules'!$B$9))</x:f>
        <x:v>4535</x:v>
      </x:c>
      <x:c r="I28" s="30" t="n">
        <x:f>IF(F28="","",FLOOR(INT(F28*'Price rules'!$B$8),'Price rules'!$B$9)+IF(MOD(INT(F28*'Price rules'!$B$8),'Price rules'!$B$9)&lt;'Price rules'!$B$10,0,'Price rules'!$B$9))</x:f>
        <x:v>5040</x:v>
      </x:c>
      <x:c r="J28" s="30" t="n">
        <x:f>IF(N28="conditional","",SUMIFS($F$5:$F$394,$A$5:$A$394,A28,$C$5:$C$394,C28,$D$5:$D$394,"&lt;="&amp;D28)+SUMIF(Towers!$A$5:$A$30,A28,Towers!$E$5:$E$30))</x:f>
        <x:v>6190</x:v>
      </x:c>
      <x:c r="K28" s="30"/>
      <x:c r="L28" s="25" t="str">
        <x:v>rapid_fire</x:v>
      </x:c>
      <x:c r="M28" s="25" t="str">
        <x:v>Activates a temporary attack-speed boost.</x:v>
      </x:c>
      <x:c r="N28" s="25" t="str">
        <x:v>fixed_upgrade_price</x:v>
      </x:c>
      <x:c r="O28" s="30" t="n">
        <x:v>4200</x:v>
      </x:c>
      <x:c r="P28" s="25" t="str">
        <x:v>https://raw.githubusercontent.com/Btd6ModHelper/btd6-game-data/main/Towers/BoomerangMonkey/BoomerangMonkey-040.json</x:v>
      </x:c>
      <x:c r="Q28" s="25" t="str">
        <x:v>https://raw.githubusercontent.com/hemisemidemipresent/cyberquincy/master/jsons/costs.json</x:v>
      </x:c>
      <x:c r="R28" s="25" t="str">
        <x:v>https://raw.githubusercontent.com/Btd6ModHelper/btd6-game-data/main/textTable.json</x:v>
      </x:c>
      <x:c r="S28" s="25"/>
      <x:c r="T28" s="25"/>
    </x:row>
    <x:row r="29" ht="64" customHeight="1">
      <x:c r="A29" s="25" t="str">
        <x:v>Boomerang Monkey</x:v>
      </x:c>
      <x:c r="B29" s="80" t="str">
        <x:v>050</x:v>
      </x:c>
      <x:c r="C29" s="25" t="str">
        <x:v>middle</x:v>
      </x:c>
      <x:c r="D29" s="25" t="n">
        <x:v>5</x:v>
      </x:c>
      <x:c r="E29" s="25" t="str">
        <x:v>Perma Charge</x:v>
      </x:c>
      <x:c r="F29" s="30" t="n">
        <x:v>35000</x:v>
      </x:c>
      <x:c r="G29" s="30" t="n">
        <x:f>IF(F29="","",FLOOR(INT(F29*'Price rules'!$B$5),'Price rules'!$B$9)+IF(MOD(INT(F29*'Price rules'!$B$5),'Price rules'!$B$9)&lt;'Price rules'!$B$10,0,'Price rules'!$B$9))</x:f>
        <x:v>29750</x:v>
      </x:c>
      <x:c r="H29" s="30" t="n">
        <x:f>IF(F29="","",FLOOR(INT(F29*'Price rules'!$B$7),'Price rules'!$B$9)+IF(MOD(INT(F29*'Price rules'!$B$7),'Price rules'!$B$9)&lt;'Price rules'!$B$10,0,'Price rules'!$B$9))</x:f>
        <x:v>37800</x:v>
      </x:c>
      <x:c r="I29" s="30" t="n">
        <x:f>IF(F29="","",FLOOR(INT(F29*'Price rules'!$B$8),'Price rules'!$B$9)+IF(MOD(INT(F29*'Price rules'!$B$8),'Price rules'!$B$9)&lt;'Price rules'!$B$10,0,'Price rules'!$B$9))</x:f>
        <x:v>42000</x:v>
      </x:c>
      <x:c r="J29" s="30" t="n">
        <x:f>IF(N29="conditional","",SUMIFS($F$5:$F$394,$A$5:$A$394,A29,$C$5:$C$394,C29,$D$5:$D$394,"&lt;="&amp;D29)+SUMIF(Towers!$A$5:$A$30,A29,Towers!$E$5:$E$30))</x:f>
        <x:v>41190</x:v>
      </x:c>
      <x:c r="K29" s="30"/>
      <x:c r="L29" s="25" t="str">
        <x:v>rapid_fire</x:v>
      </x:c>
      <x:c r="M29" s="25" t="str">
        <x:v>Provides sustained rapid attacks and an activated damage boost.</x:v>
      </x:c>
      <x:c r="N29" s="25" t="str">
        <x:v>fixed_upgrade_price</x:v>
      </x:c>
      <x:c r="O29" s="30" t="n">
        <x:v>35000</x:v>
      </x:c>
      <x:c r="P29" s="25" t="str">
        <x:v>https://raw.githubusercontent.com/Btd6ModHelper/btd6-game-data/main/Towers/BoomerangMonkey/BoomerangMonkey-050.json</x:v>
      </x:c>
      <x:c r="Q29" s="25" t="str">
        <x:v>https://raw.githubusercontent.com/hemisemidemipresent/cyberquincy/master/jsons/costs.json</x:v>
      </x:c>
      <x:c r="R29" s="25" t="str">
        <x:v>https://raw.githubusercontent.com/Btd6ModHelper/btd6-game-data/main/textTable.json</x:v>
      </x:c>
      <x:c r="S29" s="25"/>
      <x:c r="T29" s="25"/>
    </x:row>
    <x:row r="30" ht="64" customHeight="1">
      <x:c r="A30" s="25" t="str">
        <x:v>Boomerang Monkey</x:v>
      </x:c>
      <x:c r="B30" s="80" t="str">
        <x:v>001</x:v>
      </x:c>
      <x:c r="C30" s="25" t="str">
        <x:v>bottom</x:v>
      </x:c>
      <x:c r="D30" s="25" t="n">
        <x:v>1</x:v>
      </x:c>
      <x:c r="E30" s="25" t="str">
        <x:v>Long Range Rangs</x:v>
      </x:c>
      <x:c r="F30" s="30" t="n">
        <x:v>100</x:v>
      </x:c>
      <x:c r="G30" s="30" t="n">
        <x:f>IF(F30="","",FLOOR(INT(F30*'Price rules'!$B$5),'Price rules'!$B$9)+IF(MOD(INT(F30*'Price rules'!$B$5),'Price rules'!$B$9)&lt;'Price rules'!$B$10,0,'Price rules'!$B$9))</x:f>
        <x:v>85</x:v>
      </x:c>
      <x:c r="H30" s="30" t="n">
        <x:f>IF(F30="","",FLOOR(INT(F30*'Price rules'!$B$7),'Price rules'!$B$9)+IF(MOD(INT(F30*'Price rules'!$B$7),'Price rules'!$B$9)&lt;'Price rules'!$B$10,0,'Price rules'!$B$9))</x:f>
        <x:v>110</x:v>
      </x:c>
      <x:c r="I30" s="30" t="n">
        <x:f>IF(F30="","",FLOOR(INT(F30*'Price rules'!$B$8),'Price rules'!$B$9)+IF(MOD(INT(F30*'Price rules'!$B$8),'Price rules'!$B$9)&lt;'Price rules'!$B$10,0,'Price rules'!$B$9))</x:f>
        <x:v>120</x:v>
      </x:c>
      <x:c r="J30" s="30" t="n">
        <x:f>IF(N30="conditional","",SUMIFS($F$5:$F$394,$A$5:$A$394,A30,$C$5:$C$394,C30,$D$5:$D$394,"&lt;="&amp;D30)+SUMIF(Towers!$A$5:$A$30,A30,Towers!$E$5:$E$30))</x:f>
        <x:v>415</x:v>
      </x:c>
      <x:c r="K30" s="30"/>
      <x:c r="L30" s="25" t="str">
        <x:v>basic_dps</x:v>
      </x:c>
      <x:c r="M30" s="25" t="str">
        <x:v>Increases throwing range.</x:v>
      </x:c>
      <x:c r="N30" s="25" t="str">
        <x:v>fixed_upgrade_price</x:v>
      </x:c>
      <x:c r="O30" s="30" t="n">
        <x:v>100</x:v>
      </x:c>
      <x:c r="P30" s="25" t="str">
        <x:v>https://raw.githubusercontent.com/Btd6ModHelper/btd6-game-data/main/Towers/BoomerangMonkey/BoomerangMonkey-001.json</x:v>
      </x:c>
      <x:c r="Q30" s="25" t="str">
        <x:v>https://raw.githubusercontent.com/hemisemidemipresent/cyberquincy/master/jsons/costs.json</x:v>
      </x:c>
      <x:c r="R30" s="25" t="str">
        <x:v>https://raw.githubusercontent.com/Btd6ModHelper/btd6-game-data/main/textTable.json</x:v>
      </x:c>
      <x:c r="S30" s="25"/>
      <x:c r="T30" s="25"/>
    </x:row>
    <x:row r="31" ht="64" customHeight="1">
      <x:c r="A31" s="25" t="str">
        <x:v>Boomerang Monkey</x:v>
      </x:c>
      <x:c r="B31" s="80" t="str">
        <x:v>002</x:v>
      </x:c>
      <x:c r="C31" s="25" t="str">
        <x:v>bottom</x:v>
      </x:c>
      <x:c r="D31" s="25" t="n">
        <x:v>2</x:v>
      </x:c>
      <x:c r="E31" s="25" t="str">
        <x:v>Red Hot Rangs</x:v>
      </x:c>
      <x:c r="F31" s="30" t="n">
        <x:v>300</x:v>
      </x:c>
      <x:c r="G31" s="30" t="n">
        <x:f>IF(F31="","",FLOOR(INT(F31*'Price rules'!$B$5),'Price rules'!$B$9)+IF(MOD(INT(F31*'Price rules'!$B$5),'Price rules'!$B$9)&lt;'Price rules'!$B$10,0,'Price rules'!$B$9))</x:f>
        <x:v>255</x:v>
      </x:c>
      <x:c r="H31" s="30" t="n">
        <x:f>IF(F31="","",FLOOR(INT(F31*'Price rules'!$B$7),'Price rules'!$B$9)+IF(MOD(INT(F31*'Price rules'!$B$7),'Price rules'!$B$9)&lt;'Price rules'!$B$10,0,'Price rules'!$B$9))</x:f>
        <x:v>325</x:v>
      </x:c>
      <x:c r="I31" s="30" t="n">
        <x:f>IF(F31="","",FLOOR(INT(F31*'Price rules'!$B$8),'Price rules'!$B$9)+IF(MOD(INT(F31*'Price rules'!$B$8),'Price rules'!$B$9)&lt;'Price rules'!$B$10,0,'Price rules'!$B$9))</x:f>
        <x:v>360</x:v>
      </x:c>
      <x:c r="J31" s="30" t="n">
        <x:f>IF(N31="conditional","",SUMIFS($F$5:$F$394,$A$5:$A$394,A31,$C$5:$C$394,C31,$D$5:$D$394,"&lt;="&amp;D31)+SUMIF(Towers!$A$5:$A$30,A31,Towers!$E$5:$E$30))</x:f>
        <x:v>715</x:v>
      </x:c>
      <x:c r="K31" s="30"/>
      <x:c r="L31" s="25" t="str">
        <x:v>basic_dps</x:v>
      </x:c>
      <x:c r="M31" s="25" t="str">
        <x:v>Adds damage and allows hits on Lead and Frozen targets.</x:v>
      </x:c>
      <x:c r="N31" s="25" t="str">
        <x:v>fixed_upgrade_price</x:v>
      </x:c>
      <x:c r="O31" s="30" t="n">
        <x:v>300</x:v>
      </x:c>
      <x:c r="P31" s="25" t="str">
        <x:v>https://raw.githubusercontent.com/Btd6ModHelper/btd6-game-data/main/Towers/BoomerangMonkey/BoomerangMonkey-002.json</x:v>
      </x:c>
      <x:c r="Q31" s="25" t="str">
        <x:v>https://raw.githubusercontent.com/hemisemidemipresent/cyberquincy/master/jsons/costs.json</x:v>
      </x:c>
      <x:c r="R31" s="25" t="str">
        <x:v>https://raw.githubusercontent.com/Btd6ModHelper/btd6-game-data/main/textTable.json</x:v>
      </x:c>
      <x:c r="S31" s="25"/>
      <x:c r="T31" s="25"/>
    </x:row>
    <x:row r="32" ht="64" customHeight="1">
      <x:c r="A32" s="25" t="str">
        <x:v>Boomerang Monkey</x:v>
      </x:c>
      <x:c r="B32" s="80" t="str">
        <x:v>003</x:v>
      </x:c>
      <x:c r="C32" s="25" t="str">
        <x:v>bottom</x:v>
      </x:c>
      <x:c r="D32" s="25" t="n">
        <x:v>3</x:v>
      </x:c>
      <x:c r="E32" s="25" t="str">
        <x:v>Kylie Boomerang</x:v>
      </x:c>
      <x:c r="F32" s="30" t="n">
        <x:v>1300</x:v>
      </x:c>
      <x:c r="G32" s="30" t="n">
        <x:f>IF(F32="","",FLOOR(INT(F32*'Price rules'!$B$5),'Price rules'!$B$9)+IF(MOD(INT(F32*'Price rules'!$B$5),'Price rules'!$B$9)&lt;'Price rules'!$B$10,0,'Price rules'!$B$9))</x:f>
        <x:v>1105</x:v>
      </x:c>
      <x:c r="H32" s="30" t="n">
        <x:f>IF(F32="","",FLOOR(INT(F32*'Price rules'!$B$7),'Price rules'!$B$9)+IF(MOD(INT(F32*'Price rules'!$B$7),'Price rules'!$B$9)&lt;'Price rules'!$B$10,0,'Price rules'!$B$9))</x:f>
        <x:v>1405</x:v>
      </x:c>
      <x:c r="I32" s="30" t="n">
        <x:f>IF(F32="","",FLOOR(INT(F32*'Price rules'!$B$8),'Price rules'!$B$9)+IF(MOD(INT(F32*'Price rules'!$B$8),'Price rules'!$B$9)&lt;'Price rules'!$B$10,0,'Price rules'!$B$9))</x:f>
        <x:v>1560</x:v>
      </x:c>
      <x:c r="J32" s="30" t="n">
        <x:f>IF(N32="conditional","",SUMIFS($F$5:$F$394,$A$5:$A$394,A32,$C$5:$C$394,C32,$D$5:$D$394,"&lt;="&amp;D32)+SUMIF(Towers!$A$5:$A$30,A32,Towers!$E$5:$E$30))</x:f>
        <x:v>2015</x:v>
      </x:c>
      <x:c r="K32" s="30"/>
      <x:c r="L32" s="25" t="str">
        <x:v>splash</x:v>
      </x:c>
      <x:c r="M32" s="25" t="str">
        <x:v>Uses straight-flying boomerangs instead of curved throws.</x:v>
      </x:c>
      <x:c r="N32" s="25" t="str">
        <x:v>fixed_upgrade_price</x:v>
      </x:c>
      <x:c r="O32" s="30" t="n">
        <x:v>1300</x:v>
      </x:c>
      <x:c r="P32" s="25" t="str">
        <x:v>https://raw.githubusercontent.com/Btd6ModHelper/btd6-game-data/main/Towers/BoomerangMonkey/BoomerangMonkey-003.json</x:v>
      </x:c>
      <x:c r="Q32" s="25" t="str">
        <x:v>https://raw.githubusercontent.com/hemisemidemipresent/cyberquincy/master/jsons/costs.json</x:v>
      </x:c>
      <x:c r="R32" s="25" t="str">
        <x:v>https://raw.githubusercontent.com/Btd6ModHelper/btd6-game-data/main/textTable.json</x:v>
      </x:c>
      <x:c r="S32" s="25"/>
      <x:c r="T32" s="25"/>
    </x:row>
    <x:row r="33" ht="64" customHeight="1">
      <x:c r="A33" s="25" t="str">
        <x:v>Boomerang Monkey</x:v>
      </x:c>
      <x:c r="B33" s="80" t="str">
        <x:v>004</x:v>
      </x:c>
      <x:c r="C33" s="25" t="str">
        <x:v>bottom</x:v>
      </x:c>
      <x:c r="D33" s="25" t="n">
        <x:v>4</x:v>
      </x:c>
      <x:c r="E33" s="25" t="str">
        <x:v>MOAB Press</x:v>
      </x:c>
      <x:c r="F33" s="30" t="n">
        <x:v>2700</x:v>
      </x:c>
      <x:c r="G33" s="30" t="n">
        <x:f>IF(F33="","",FLOOR(INT(F33*'Price rules'!$B$5),'Price rules'!$B$9)+IF(MOD(INT(F33*'Price rules'!$B$5),'Price rules'!$B$9)&lt;'Price rules'!$B$10,0,'Price rules'!$B$9))</x:f>
        <x:v>2295</x:v>
      </x:c>
      <x:c r="H33" s="30" t="n">
        <x:f>IF(F33="","",FLOOR(INT(F33*'Price rules'!$B$7),'Price rules'!$B$9)+IF(MOD(INT(F33*'Price rules'!$B$7),'Price rules'!$B$9)&lt;'Price rules'!$B$10,0,'Price rules'!$B$9))</x:f>
        <x:v>2915</x:v>
      </x:c>
      <x:c r="I33" s="30" t="n">
        <x:f>IF(F33="","",FLOOR(INT(F33*'Price rules'!$B$8),'Price rules'!$B$9)+IF(MOD(INT(F33*'Price rules'!$B$8),'Price rules'!$B$9)&lt;'Price rules'!$B$10,0,'Price rules'!$B$9))</x:f>
        <x:v>3240</x:v>
      </x:c>
      <x:c r="J33" s="30" t="n">
        <x:f>IF(N33="conditional","",SUMIFS($F$5:$F$394,$A$5:$A$394,A33,$C$5:$C$394,C33,$D$5:$D$394,"&lt;="&amp;D33)+SUMIF(Towers!$A$5:$A$30,A33,Towers!$E$5:$E$30))</x:f>
        <x:v>4715</x:v>
      </x:c>
      <x:c r="K33" s="30"/>
      <x:c r="L33" s="25" t="str">
        <x:v>slow</x:v>
      </x:c>
      <x:c r="M33" s="25" t="str">
        <x:v>Special throws repeatedly hit and push back MOAB-class targets.</x:v>
      </x:c>
      <x:c r="N33" s="25" t="str">
        <x:v>fixed_upgrade_price</x:v>
      </x:c>
      <x:c r="O33" s="30" t="n">
        <x:v>2700</x:v>
      </x:c>
      <x:c r="P33" s="25" t="str">
        <x:v>https://raw.githubusercontent.com/Btd6ModHelper/btd6-game-data/main/Towers/BoomerangMonkey/BoomerangMonkey-004.json</x:v>
      </x:c>
      <x:c r="Q33" s="25" t="str">
        <x:v>https://raw.githubusercontent.com/hemisemidemipresent/cyberquincy/master/jsons/costs.json</x:v>
      </x:c>
      <x:c r="R33" s="25" t="str">
        <x:v>https://raw.githubusercontent.com/Btd6ModHelper/btd6-game-data/main/textTable.json</x:v>
      </x:c>
      <x:c r="S33" s="25"/>
      <x:c r="T33" s="25"/>
    </x:row>
    <x:row r="34" ht="64" customHeight="1">
      <x:c r="A34" s="25" t="str">
        <x:v>Boomerang Monkey</x:v>
      </x:c>
      <x:c r="B34" s="80" t="str">
        <x:v>005</x:v>
      </x:c>
      <x:c r="C34" s="25" t="str">
        <x:v>bottom</x:v>
      </x:c>
      <x:c r="D34" s="25" t="n">
        <x:v>5</x:v>
      </x:c>
      <x:c r="E34" s="25" t="str">
        <x:v>MOAB Domination</x:v>
      </x:c>
      <x:c r="F34" s="30" t="n">
        <x:v>50000</x:v>
      </x:c>
      <x:c r="G34" s="30" t="n">
        <x:f>IF(F34="","",FLOOR(INT(F34*'Price rules'!$B$5),'Price rules'!$B$9)+IF(MOD(INT(F34*'Price rules'!$B$5),'Price rules'!$B$9)&lt;'Price rules'!$B$10,0,'Price rules'!$B$9))</x:f>
        <x:v>42500</x:v>
      </x:c>
      <x:c r="H34" s="30" t="n">
        <x:f>IF(F34="","",FLOOR(INT(F34*'Price rules'!$B$7),'Price rules'!$B$9)+IF(MOD(INT(F34*'Price rules'!$B$7),'Price rules'!$B$9)&lt;'Price rules'!$B$10,0,'Price rules'!$B$9))</x:f>
        <x:v>54000</x:v>
      </x:c>
      <x:c r="I34" s="30" t="n">
        <x:f>IF(F34="","",FLOOR(INT(F34*'Price rules'!$B$8),'Price rules'!$B$9)+IF(MOD(INT(F34*'Price rules'!$B$8),'Price rules'!$B$9)&lt;'Price rules'!$B$10,0,'Price rules'!$B$9))</x:f>
        <x:v>60000</x:v>
      </x:c>
      <x:c r="J34" s="30" t="n">
        <x:f>IF(N34="conditional","",SUMIFS($F$5:$F$394,$A$5:$A$394,A34,$C$5:$C$394,C34,$D$5:$D$394,"&lt;="&amp;D34)+SUMIF(Towers!$A$5:$A$30,A34,Towers!$E$5:$E$30))</x:f>
        <x:v>54715</x:v>
      </x:c>
      <x:c r="K34" s="30"/>
      <x:c r="L34" s="25" t="str">
        <x:v>slow</x:v>
      </x:c>
      <x:c r="M34" s="25" t="str">
        <x:v>Strengthens the damage and frequency of anti-MOAB knockback attacks.</x:v>
      </x:c>
      <x:c r="N34" s="25" t="str">
        <x:v>fixed_upgrade_price</x:v>
      </x:c>
      <x:c r="O34" s="30" t="n">
        <x:v>50000</x:v>
      </x:c>
      <x:c r="P34" s="25" t="str">
        <x:v>https://raw.githubusercontent.com/Btd6ModHelper/btd6-game-data/main/Towers/BoomerangMonkey/BoomerangMonkey-005.json</x:v>
      </x:c>
      <x:c r="Q34" s="25" t="str">
        <x:v>https://raw.githubusercontent.com/hemisemidemipresent/cyberquincy/master/jsons/costs.json</x:v>
      </x:c>
      <x:c r="R34" s="25" t="str">
        <x:v>https://raw.githubusercontent.com/Btd6ModHelper/btd6-game-data/main/textTable.json</x:v>
      </x:c>
      <x:c r="S34" s="25"/>
      <x:c r="T34" s="25"/>
    </x:row>
    <x:row r="35" ht="64" customHeight="1">
      <x:c r="A35" s="25" t="str">
        <x:v>Bomb Shooter</x:v>
      </x:c>
      <x:c r="B35" s="80" t="str">
        <x:v>100</x:v>
      </x:c>
      <x:c r="C35" s="25" t="str">
        <x:v>top</x:v>
      </x:c>
      <x:c r="D35" s="25" t="n">
        <x:v>1</x:v>
      </x:c>
      <x:c r="E35" s="25" t="str">
        <x:v>Bigger Bombs</x:v>
      </x:c>
      <x:c r="F35" s="30" t="n">
        <x:v>250</x:v>
      </x:c>
      <x:c r="G35" s="30" t="n">
        <x:f>IF(F35="","",FLOOR(INT(F35*'Price rules'!$B$5),'Price rules'!$B$9)+IF(MOD(INT(F35*'Price rules'!$B$5),'Price rules'!$B$9)&lt;'Price rules'!$B$10,0,'Price rules'!$B$9))</x:f>
        <x:v>210</x:v>
      </x:c>
      <x:c r="H35" s="30" t="n">
        <x:f>IF(F35="","",FLOOR(INT(F35*'Price rules'!$B$7),'Price rules'!$B$9)+IF(MOD(INT(F35*'Price rules'!$B$7),'Price rules'!$B$9)&lt;'Price rules'!$B$10,0,'Price rules'!$B$9))</x:f>
        <x:v>270</x:v>
      </x:c>
      <x:c r="I35" s="30" t="n">
        <x:f>IF(F35="","",FLOOR(INT(F35*'Price rules'!$B$8),'Price rules'!$B$9)+IF(MOD(INT(F35*'Price rules'!$B$8),'Price rules'!$B$9)&lt;'Price rules'!$B$10,0,'Price rules'!$B$9))</x:f>
        <x:v>300</x:v>
      </x:c>
      <x:c r="J35" s="30" t="n">
        <x:f>IF(N35="conditional","",SUMIFS($F$5:$F$394,$A$5:$A$394,A35,$C$5:$C$394,C35,$D$5:$D$394,"&lt;="&amp;D35)+SUMIF(Towers!$A$5:$A$30,A35,Towers!$E$5:$E$30))</x:f>
        <x:v>625</x:v>
      </x:c>
      <x:c r="K35" s="30" t="n">
        <x:v>200</x:v>
      </x:c>
      <x:c r="L35" s="25" t="str">
        <x:v>splash</x:v>
      </x:c>
      <x:c r="M35" s="25" t="str">
        <x:v>Increases explosion radius and pierce.</x:v>
      </x:c>
      <x:c r="N35" s="25" t="str">
        <x:v>fixed_upgrade_price</x:v>
      </x:c>
      <x:c r="O35" s="30" t="n">
        <x:v>250</x:v>
      </x:c>
      <x:c r="P35" s="25" t="str">
        <x:v>https://raw.githubusercontent.com/Btd6ModHelper/btd6-game-data/main/Towers/BombShooter/BombShooter-100.json</x:v>
      </x:c>
      <x:c r="Q35" s="25" t="str">
        <x:v>https://raw.githubusercontent.com/hemisemidemipresent/cyberquincy/master/jsons/costs.json</x:v>
      </x:c>
      <x:c r="R35" s="25" t="str">
        <x:v>https://raw.githubusercontent.com/Btd6ModHelper/btd6-game-data/main/textTable.json</x:v>
      </x:c>
      <x:c r="S35" s="25" t="str">
        <x:v>https://www.bloonswiki.com/Bomb_Shooter_(BTD6)</x:v>
      </x:c>
      <x:c r="T35" s="25" t="str">
        <x:v>47.0</x:v>
      </x:c>
    </x:row>
    <x:row r="36" ht="64" customHeight="1">
      <x:c r="A36" s="25" t="str">
        <x:v>Bomb Shooter</x:v>
      </x:c>
      <x:c r="B36" s="80" t="str">
        <x:v>200</x:v>
      </x:c>
      <x:c r="C36" s="25" t="str">
        <x:v>top</x:v>
      </x:c>
      <x:c r="D36" s="25" t="n">
        <x:v>2</x:v>
      </x:c>
      <x:c r="E36" s="25" t="str">
        <x:v>Heavy Bombs</x:v>
      </x:c>
      <x:c r="F36" s="30" t="n">
        <x:v>650</x:v>
      </x:c>
      <x:c r="G36" s="30" t="n">
        <x:f>IF(F36="","",FLOOR(INT(F36*'Price rules'!$B$5),'Price rules'!$B$9)+IF(MOD(INT(F36*'Price rules'!$B$5),'Price rules'!$B$9)&lt;'Price rules'!$B$10,0,'Price rules'!$B$9))</x:f>
        <x:v>550</x:v>
      </x:c>
      <x:c r="H36" s="30" t="n">
        <x:f>IF(F36="","",FLOOR(INT(F36*'Price rules'!$B$7),'Price rules'!$B$9)+IF(MOD(INT(F36*'Price rules'!$B$7),'Price rules'!$B$9)&lt;'Price rules'!$B$10,0,'Price rules'!$B$9))</x:f>
        <x:v>700</x:v>
      </x:c>
      <x:c r="I36" s="30" t="n">
        <x:f>IF(F36="","",FLOOR(INT(F36*'Price rules'!$B$8),'Price rules'!$B$9)+IF(MOD(INT(F36*'Price rules'!$B$8),'Price rules'!$B$9)&lt;'Price rules'!$B$10,0,'Price rules'!$B$9))</x:f>
        <x:v>780</x:v>
      </x:c>
      <x:c r="J36" s="30" t="n">
        <x:f>IF(N36="conditional","",SUMIFS($F$5:$F$394,$A$5:$A$394,A36,$C$5:$C$394,C36,$D$5:$D$394,"&lt;="&amp;D36)+SUMIF(Towers!$A$5:$A$30,A36,Towers!$E$5:$E$30))</x:f>
        <x:v>1275</x:v>
      </x:c>
      <x:c r="K36" s="30" t="n">
        <x:v>1000</x:v>
      </x:c>
      <x:c r="L36" s="25" t="str">
        <x:v>splash</x:v>
      </x:c>
      <x:c r="M36" s="25" t="str">
        <x:v>Raises explosion damage to two and increases pierce.</x:v>
      </x:c>
      <x:c r="N36" s="25" t="str">
        <x:v>fixed_upgrade_price</x:v>
      </x:c>
      <x:c r="O36" s="30" t="n">
        <x:v>650</x:v>
      </x:c>
      <x:c r="P36" s="25" t="str">
        <x:v>https://raw.githubusercontent.com/Btd6ModHelper/btd6-game-data/main/Towers/BombShooter/BombShooter-200.json</x:v>
      </x:c>
      <x:c r="Q36" s="25" t="str">
        <x:v>https://raw.githubusercontent.com/hemisemidemipresent/cyberquincy/master/jsons/costs.json</x:v>
      </x:c>
      <x:c r="R36" s="25" t="str">
        <x:v>https://raw.githubusercontent.com/Btd6ModHelper/btd6-game-data/main/textTable.json</x:v>
      </x:c>
      <x:c r="S36" s="25" t="str">
        <x:v>https://www.bloonswiki.com/Bomb_Shooter_(BTD6)</x:v>
      </x:c>
      <x:c r="T36" s="25" t="str">
        <x:v>47.0</x:v>
      </x:c>
    </x:row>
    <x:row r="37" ht="64" customHeight="1">
      <x:c r="A37" s="25" t="str">
        <x:v>Bomb Shooter</x:v>
      </x:c>
      <x:c r="B37" s="80" t="str">
        <x:v>300</x:v>
      </x:c>
      <x:c r="C37" s="25" t="str">
        <x:v>top</x:v>
      </x:c>
      <x:c r="D37" s="25" t="n">
        <x:v>3</x:v>
      </x:c>
      <x:c r="E37" s="25" t="str">
        <x:v>Really Big Bombs</x:v>
      </x:c>
      <x:c r="F37" s="30" t="n">
        <x:v>1100</x:v>
      </x:c>
      <x:c r="G37" s="30" t="n">
        <x:f>IF(F37="","",FLOOR(INT(F37*'Price rules'!$B$5),'Price rules'!$B$9)+IF(MOD(INT(F37*'Price rules'!$B$5),'Price rules'!$B$9)&lt;'Price rules'!$B$10,0,'Price rules'!$B$9))</x:f>
        <x:v>935</x:v>
      </x:c>
      <x:c r="H37" s="30" t="n">
        <x:f>IF(F37="","",FLOOR(INT(F37*'Price rules'!$B$7),'Price rules'!$B$9)+IF(MOD(INT(F37*'Price rules'!$B$7),'Price rules'!$B$9)&lt;'Price rules'!$B$10,0,'Price rules'!$B$9))</x:f>
        <x:v>1190</x:v>
      </x:c>
      <x:c r="I37" s="30" t="n">
        <x:f>IF(F37="","",FLOOR(INT(F37*'Price rules'!$B$8),'Price rules'!$B$9)+IF(MOD(INT(F37*'Price rules'!$B$8),'Price rules'!$B$9)&lt;'Price rules'!$B$10,0,'Price rules'!$B$9))</x:f>
        <x:v>1320</x:v>
      </x:c>
      <x:c r="J37" s="30" t="n">
        <x:f>IF(N37="conditional","",SUMIFS($F$5:$F$394,$A$5:$A$394,A37,$C$5:$C$394,C37,$D$5:$D$394,"&lt;="&amp;D37)+SUMIF(Towers!$A$5:$A$30,A37,Towers!$E$5:$E$30))</x:f>
        <x:v>2375</x:v>
      </x:c>
      <x:c r="K37" s="30" t="n">
        <x:v>3000</x:v>
      </x:c>
      <x:c r="L37" s="25" t="str">
        <x:v>splash</x:v>
      </x:c>
      <x:c r="M37" s="25" t="str">
        <x:v>Adds larger explosions, more damage, and knockback.</x:v>
      </x:c>
      <x:c r="N37" s="25" t="str">
        <x:v>fixed_upgrade_price</x:v>
      </x:c>
      <x:c r="O37" s="30" t="n">
        <x:v>1100</x:v>
      </x:c>
      <x:c r="P37" s="25" t="str">
        <x:v>https://raw.githubusercontent.com/Btd6ModHelper/btd6-game-data/main/Towers/BombShooter/BombShooter-300.json</x:v>
      </x:c>
      <x:c r="Q37" s="25" t="str">
        <x:v>https://raw.githubusercontent.com/hemisemidemipresent/cyberquincy/master/jsons/costs.json</x:v>
      </x:c>
      <x:c r="R37" s="25" t="str">
        <x:v>https://raw.githubusercontent.com/Btd6ModHelper/btd6-game-data/main/textTable.json</x:v>
      </x:c>
      <x:c r="S37" s="25" t="str">
        <x:v>https://www.bloonswiki.com/Bomb_Shooter_(BTD6)</x:v>
      </x:c>
      <x:c r="T37" s="25" t="str">
        <x:v>47.0</x:v>
      </x:c>
    </x:row>
    <x:row r="38" ht="64" customHeight="1">
      <x:c r="A38" s="25" t="str">
        <x:v>Bomb Shooter</x:v>
      </x:c>
      <x:c r="B38" s="80" t="str">
        <x:v>400</x:v>
      </x:c>
      <x:c r="C38" s="25" t="str">
        <x:v>top</x:v>
      </x:c>
      <x:c r="D38" s="25" t="n">
        <x:v>4</x:v>
      </x:c>
      <x:c r="E38" s="25" t="str">
        <x:v>Bloon Impact</x:v>
      </x:c>
      <x:c r="F38" s="30" t="n">
        <x:v>2800</x:v>
      </x:c>
      <x:c r="G38" s="30" t="n">
        <x:f>IF(F38="","",FLOOR(INT(F38*'Price rules'!$B$5),'Price rules'!$B$9)+IF(MOD(INT(F38*'Price rules'!$B$5),'Price rules'!$B$9)&lt;'Price rules'!$B$10,0,'Price rules'!$B$9))</x:f>
        <x:v>2380</x:v>
      </x:c>
      <x:c r="H38" s="30" t="n">
        <x:f>IF(F38="","",FLOOR(INT(F38*'Price rules'!$B$7),'Price rules'!$B$9)+IF(MOD(INT(F38*'Price rules'!$B$7),'Price rules'!$B$9)&lt;'Price rules'!$B$10,0,'Price rules'!$B$9))</x:f>
        <x:v>3025</x:v>
      </x:c>
      <x:c r="I38" s="30" t="n">
        <x:f>IF(F38="","",FLOOR(INT(F38*'Price rules'!$B$8),'Price rules'!$B$9)+IF(MOD(INT(F38*'Price rules'!$B$8),'Price rules'!$B$9)&lt;'Price rules'!$B$10,0,'Price rules'!$B$9))</x:f>
        <x:v>3360</x:v>
      </x:c>
      <x:c r="J38" s="30" t="n">
        <x:f>IF(N38="conditional","",SUMIFS($F$5:$F$394,$A$5:$A$394,A38,$C$5:$C$394,C38,$D$5:$D$394,"&lt;="&amp;D38)+SUMIF(Towers!$A$5:$A$30,A38,Towers!$E$5:$E$30))</x:f>
        <x:v>5175</x:v>
      </x:c>
      <x:c r="K38" s="30" t="n">
        <x:v>10000</x:v>
      </x:c>
      <x:c r="L38" s="25" t="str">
        <x:v>status</x:v>
      </x:c>
      <x:c r="M38" s="25" t="str">
        <x:v>Explosions stun ordinary Bloons; range and fragments improve.</x:v>
      </x:c>
      <x:c r="N38" s="25" t="str">
        <x:v>fixed_upgrade_price</x:v>
      </x:c>
      <x:c r="O38" s="30" t="n">
        <x:v>2800</x:v>
      </x:c>
      <x:c r="P38" s="25" t="str">
        <x:v>https://raw.githubusercontent.com/Btd6ModHelper/btd6-game-data/main/Towers/BombShooter/BombShooter-400.json</x:v>
      </x:c>
      <x:c r="Q38" s="25" t="str">
        <x:v>https://raw.githubusercontent.com/hemisemidemipresent/cyberquincy/master/jsons/costs.json</x:v>
      </x:c>
      <x:c r="R38" s="25" t="str">
        <x:v>https://raw.githubusercontent.com/Btd6ModHelper/btd6-game-data/main/textTable.json</x:v>
      </x:c>
      <x:c r="S38" s="25" t="str">
        <x:v>https://www.bloonswiki.com/Bomb_Shooter_(BTD6)</x:v>
      </x:c>
      <x:c r="T38" s="25" t="str">
        <x:v>47.0</x:v>
      </x:c>
    </x:row>
    <x:row r="39" ht="64" customHeight="1">
      <x:c r="A39" s="25" t="str">
        <x:v>Bomb Shooter</x:v>
      </x:c>
      <x:c r="B39" s="80" t="str">
        <x:v>500</x:v>
      </x:c>
      <x:c r="C39" s="25" t="str">
        <x:v>top</x:v>
      </x:c>
      <x:c r="D39" s="25" t="n">
        <x:v>5</x:v>
      </x:c>
      <x:c r="E39" s="25" t="str">
        <x:v>Bloon Crush</x:v>
      </x:c>
      <x:c r="F39" s="30" t="n">
        <x:v>55000</x:v>
      </x:c>
      <x:c r="G39" s="30" t="n">
        <x:f>IF(F39="","",FLOOR(INT(F39*'Price rules'!$B$5),'Price rules'!$B$9)+IF(MOD(INT(F39*'Price rules'!$B$5),'Price rules'!$B$9)&lt;'Price rules'!$B$10,0,'Price rules'!$B$9))</x:f>
        <x:v>46750</x:v>
      </x:c>
      <x:c r="H39" s="30" t="n">
        <x:f>IF(F39="","",FLOOR(INT(F39*'Price rules'!$B$7),'Price rules'!$B$9)+IF(MOD(INT(F39*'Price rules'!$B$7),'Price rules'!$B$9)&lt;'Price rules'!$B$10,0,'Price rules'!$B$9))</x:f>
        <x:v>59400</x:v>
      </x:c>
      <x:c r="I39" s="30" t="n">
        <x:f>IF(F39="","",FLOOR(INT(F39*'Price rules'!$B$8),'Price rules'!$B$9)+IF(MOD(INT(F39*'Price rules'!$B$8),'Price rules'!$B$9)&lt;'Price rules'!$B$10,0,'Price rules'!$B$9))</x:f>
        <x:v>66000</x:v>
      </x:c>
      <x:c r="J39" s="30" t="n">
        <x:f>IF(N39="conditional","",SUMIFS($F$5:$F$394,$A$5:$A$394,A39,$C$5:$C$394,C39,$D$5:$D$394,"&lt;="&amp;D39)+SUMIF(Towers!$A$5:$A$30,A39,Towers!$E$5:$E$30))</x:f>
        <x:v>60175</x:v>
      </x:c>
      <x:c r="K39" s="30" t="n">
        <x:v>37500</x:v>
      </x:c>
      <x:c r="L39" s="25" t="str">
        <x:v>status</x:v>
      </x:c>
      <x:c r="M39" s="25" t="str">
        <x:v>Adds high damage and the ability to stun MOAB-class targets.</x:v>
      </x:c>
      <x:c r="N39" s="25" t="str">
        <x:v>fixed_upgrade_price</x:v>
      </x:c>
      <x:c r="O39" s="30" t="n">
        <x:v>55000</x:v>
      </x:c>
      <x:c r="P39" s="25" t="str">
        <x:v>https://raw.githubusercontent.com/Btd6ModHelper/btd6-game-data/main/Towers/BombShooter/BombShooter-500.json</x:v>
      </x:c>
      <x:c r="Q39" s="25" t="str">
        <x:v>https://raw.githubusercontent.com/hemisemidemipresent/cyberquincy/master/jsons/costs.json</x:v>
      </x:c>
      <x:c r="R39" s="25" t="str">
        <x:v>https://raw.githubusercontent.com/Btd6ModHelper/btd6-game-data/main/textTable.json</x:v>
      </x:c>
      <x:c r="S39" s="25" t="str">
        <x:v>https://www.bloonswiki.com/Bomb_Shooter_(BTD6)</x:v>
      </x:c>
      <x:c r="T39" s="25" t="str">
        <x:v>47.0</x:v>
      </x:c>
    </x:row>
    <x:row r="40" ht="64" customHeight="1">
      <x:c r="A40" s="25" t="str">
        <x:v>Bomb Shooter</x:v>
      </x:c>
      <x:c r="B40" s="80" t="str">
        <x:v>010</x:v>
      </x:c>
      <x:c r="C40" s="25" t="str">
        <x:v>middle</x:v>
      </x:c>
      <x:c r="D40" s="25" t="n">
        <x:v>1</x:v>
      </x:c>
      <x:c r="E40" s="25" t="str">
        <x:v>Faster Reload</x:v>
      </x:c>
      <x:c r="F40" s="30" t="n">
        <x:v>250</x:v>
      </x:c>
      <x:c r="G40" s="30" t="n">
        <x:f>IF(F40="","",FLOOR(INT(F40*'Price rules'!$B$5),'Price rules'!$B$9)+IF(MOD(INT(F40*'Price rules'!$B$5),'Price rules'!$B$9)&lt;'Price rules'!$B$10,0,'Price rules'!$B$9))</x:f>
        <x:v>210</x:v>
      </x:c>
      <x:c r="H40" s="30" t="n">
        <x:f>IF(F40="","",FLOOR(INT(F40*'Price rules'!$B$7),'Price rules'!$B$9)+IF(MOD(INT(F40*'Price rules'!$B$7),'Price rules'!$B$9)&lt;'Price rules'!$B$10,0,'Price rules'!$B$9))</x:f>
        <x:v>270</x:v>
      </x:c>
      <x:c r="I40" s="30" t="n">
        <x:f>IF(F40="","",FLOOR(INT(F40*'Price rules'!$B$8),'Price rules'!$B$9)+IF(MOD(INT(F40*'Price rules'!$B$8),'Price rules'!$B$9)&lt;'Price rules'!$B$10,0,'Price rules'!$B$9))</x:f>
        <x:v>300</x:v>
      </x:c>
      <x:c r="J40" s="30" t="n">
        <x:f>IF(N40="conditional","",SUMIFS($F$5:$F$394,$A$5:$A$394,A40,$C$5:$C$394,C40,$D$5:$D$394,"&lt;="&amp;D40)+SUMIF(Towers!$A$5:$A$30,A40,Towers!$E$5:$E$30))</x:f>
        <x:v>625</x:v>
      </x:c>
      <x:c r="K40" s="30" t="n">
        <x:v>180</x:v>
      </x:c>
      <x:c r="L40" s="25" t="str">
        <x:v>splash</x:v>
      </x:c>
      <x:c r="M40" s="25" t="str">
        <x:v>Reduces reload time.</x:v>
      </x:c>
      <x:c r="N40" s="25" t="str">
        <x:v>fixed_upgrade_price</x:v>
      </x:c>
      <x:c r="O40" s="30" t="n">
        <x:v>250</x:v>
      </x:c>
      <x:c r="P40" s="25" t="str">
        <x:v>https://raw.githubusercontent.com/Btd6ModHelper/btd6-game-data/main/Towers/BombShooter/BombShooter-010.json</x:v>
      </x:c>
      <x:c r="Q40" s="25" t="str">
        <x:v>https://raw.githubusercontent.com/hemisemidemipresent/cyberquincy/master/jsons/costs.json</x:v>
      </x:c>
      <x:c r="R40" s="25" t="str">
        <x:v>https://raw.githubusercontent.com/Btd6ModHelper/btd6-game-data/main/textTable.json</x:v>
      </x:c>
      <x:c r="S40" s="25" t="str">
        <x:v>https://www.bloonswiki.com/Bomb_Shooter_(BTD6)</x:v>
      </x:c>
      <x:c r="T40" s="25" t="str">
        <x:v>47.0</x:v>
      </x:c>
    </x:row>
    <x:row r="41" ht="64" customHeight="1">
      <x:c r="A41" s="25" t="str">
        <x:v>Bomb Shooter</x:v>
      </x:c>
      <x:c r="B41" s="80" t="str">
        <x:v>020</x:v>
      </x:c>
      <x:c r="C41" s="25" t="str">
        <x:v>middle</x:v>
      </x:c>
      <x:c r="D41" s="25" t="n">
        <x:v>2</x:v>
      </x:c>
      <x:c r="E41" s="25" t="str">
        <x:v>Missile Launcher</x:v>
      </x:c>
      <x:c r="F41" s="30" t="n">
        <x:v>400</x:v>
      </x:c>
      <x:c r="G41" s="30" t="n">
        <x:f>IF(F41="","",FLOOR(INT(F41*'Price rules'!$B$5),'Price rules'!$B$9)+IF(MOD(INT(F41*'Price rules'!$B$5),'Price rules'!$B$9)&lt;'Price rules'!$B$10,0,'Price rules'!$B$9))</x:f>
        <x:v>340</x:v>
      </x:c>
      <x:c r="H41" s="30" t="n">
        <x:f>IF(F41="","",FLOOR(INT(F41*'Price rules'!$B$7),'Price rules'!$B$9)+IF(MOD(INT(F41*'Price rules'!$B$7),'Price rules'!$B$9)&lt;'Price rules'!$B$10,0,'Price rules'!$B$9))</x:f>
        <x:v>430</x:v>
      </x:c>
      <x:c r="I41" s="30" t="n">
        <x:f>IF(F41="","",FLOOR(INT(F41*'Price rules'!$B$8),'Price rules'!$B$9)+IF(MOD(INT(F41*'Price rules'!$B$8),'Price rules'!$B$9)&lt;'Price rules'!$B$10,0,'Price rules'!$B$9))</x:f>
        <x:v>480</x:v>
      </x:c>
      <x:c r="J41" s="30" t="n">
        <x:f>IF(N41="conditional","",SUMIFS($F$5:$F$394,$A$5:$A$394,A41,$C$5:$C$394,C41,$D$5:$D$394,"&lt;="&amp;D41)+SUMIF(Towers!$A$5:$A$30,A41,Towers!$E$5:$E$30))</x:f>
        <x:v>1025</x:v>
      </x:c>
      <x:c r="K41" s="30" t="n">
        <x:v>650</x:v>
      </x:c>
      <x:c r="L41" s="25" t="str">
        <x:v>splash</x:v>
      </x:c>
      <x:c r="M41" s="25" t="str">
        <x:v>Increases firing speed, projectile speed, and range.</x:v>
      </x:c>
      <x:c r="N41" s="25" t="str">
        <x:v>fixed_upgrade_price</x:v>
      </x:c>
      <x:c r="O41" s="30" t="n">
        <x:v>400</x:v>
      </x:c>
      <x:c r="P41" s="25" t="str">
        <x:v>https://raw.githubusercontent.com/Btd6ModHelper/btd6-game-data/main/Towers/BombShooter/BombShooter-020.json</x:v>
      </x:c>
      <x:c r="Q41" s="25" t="str">
        <x:v>https://raw.githubusercontent.com/hemisemidemipresent/cyberquincy/master/jsons/costs.json</x:v>
      </x:c>
      <x:c r="R41" s="25" t="str">
        <x:v>https://raw.githubusercontent.com/Btd6ModHelper/btd6-game-data/main/textTable.json</x:v>
      </x:c>
      <x:c r="S41" s="25" t="str">
        <x:v>https://www.bloonswiki.com/Bomb_Shooter_(BTD6)</x:v>
      </x:c>
      <x:c r="T41" s="25" t="str">
        <x:v>47.0</x:v>
      </x:c>
    </x:row>
    <x:row r="42" ht="64" customHeight="1">
      <x:c r="A42" s="25" t="str">
        <x:v>Bomb Shooter</x:v>
      </x:c>
      <x:c r="B42" s="80" t="str">
        <x:v>030</x:v>
      </x:c>
      <x:c r="C42" s="25" t="str">
        <x:v>middle</x:v>
      </x:c>
      <x:c r="D42" s="25" t="n">
        <x:v>3</x:v>
      </x:c>
      <x:c r="E42" s="25" t="str">
        <x:v>MOAB Mauler</x:v>
      </x:c>
      <x:c r="F42" s="30" t="n">
        <x:v>1000</x:v>
      </x:c>
      <x:c r="G42" s="30" t="n">
        <x:f>IF(F42="","",FLOOR(INT(F42*'Price rules'!$B$5),'Price rules'!$B$9)+IF(MOD(INT(F42*'Price rules'!$B$5),'Price rules'!$B$9)&lt;'Price rules'!$B$10,0,'Price rules'!$B$9))</x:f>
        <x:v>850</x:v>
      </x:c>
      <x:c r="H42" s="30" t="n">
        <x:f>IF(F42="","",FLOOR(INT(F42*'Price rules'!$B$7),'Price rules'!$B$9)+IF(MOD(INT(F42*'Price rules'!$B$7),'Price rules'!$B$9)&lt;'Price rules'!$B$10,0,'Price rules'!$B$9))</x:f>
        <x:v>1080</x:v>
      </x:c>
      <x:c r="I42" s="30" t="n">
        <x:f>IF(F42="","",FLOOR(INT(F42*'Price rules'!$B$8),'Price rules'!$B$9)+IF(MOD(INT(F42*'Price rules'!$B$8),'Price rules'!$B$9)&lt;'Price rules'!$B$10,0,'Price rules'!$B$9))</x:f>
        <x:v>1200</x:v>
      </x:c>
      <x:c r="J42" s="30" t="n">
        <x:f>IF(N42="conditional","",SUMIFS($F$5:$F$394,$A$5:$A$394,A42,$C$5:$C$394,C42,$D$5:$D$394,"&lt;="&amp;D42)+SUMIF(Towers!$A$5:$A$30,A42,Towers!$E$5:$E$30))</x:f>
        <x:v>2025</x:v>
      </x:c>
      <x:c r="K42" s="30" t="n">
        <x:v>2700</x:v>
      </x:c>
      <x:c r="L42" s="25" t="str">
        <x:v>tank_killer</x:v>
      </x:c>
      <x:c r="M42" s="25" t="str">
        <x:v>Adds bonus damage against MOAB-class targets.</x:v>
      </x:c>
      <x:c r="N42" s="25" t="str">
        <x:v>fixed_upgrade_price</x:v>
      </x:c>
      <x:c r="O42" s="30" t="n">
        <x:v>1000</x:v>
      </x:c>
      <x:c r="P42" s="25" t="str">
        <x:v>https://raw.githubusercontent.com/Btd6ModHelper/btd6-game-data/main/Towers/BombShooter/BombShooter-030.json</x:v>
      </x:c>
      <x:c r="Q42" s="25" t="str">
        <x:v>https://raw.githubusercontent.com/hemisemidemipresent/cyberquincy/master/jsons/costs.json</x:v>
      </x:c>
      <x:c r="R42" s="25" t="str">
        <x:v>https://raw.githubusercontent.com/Btd6ModHelper/btd6-game-data/main/textTable.json</x:v>
      </x:c>
      <x:c r="S42" s="25" t="str">
        <x:v>https://www.bloonswiki.com/Bomb_Shooter_(BTD6)</x:v>
      </x:c>
      <x:c r="T42" s="25" t="str">
        <x:v>47.0</x:v>
      </x:c>
    </x:row>
    <x:row r="43" ht="64" customHeight="1">
      <x:c r="A43" s="25" t="str">
        <x:v>Bomb Shooter</x:v>
      </x:c>
      <x:c r="B43" s="80" t="str">
        <x:v>040</x:v>
      </x:c>
      <x:c r="C43" s="25" t="str">
        <x:v>middle</x:v>
      </x:c>
      <x:c r="D43" s="25" t="n">
        <x:v>4</x:v>
      </x:c>
      <x:c r="E43" s="25" t="str">
        <x:v>MOAB Assassin</x:v>
      </x:c>
      <x:c r="F43" s="30" t="n">
        <x:v>3450</x:v>
      </x:c>
      <x:c r="G43" s="30" t="n">
        <x:f>IF(F43="","",FLOOR(INT(F43*'Price rules'!$B$5),'Price rules'!$B$9)+IF(MOD(INT(F43*'Price rules'!$B$5),'Price rules'!$B$9)&lt;'Price rules'!$B$10,0,'Price rules'!$B$9))</x:f>
        <x:v>2930</x:v>
      </x:c>
      <x:c r="H43" s="30" t="n">
        <x:f>IF(F43="","",FLOOR(INT(F43*'Price rules'!$B$7),'Price rules'!$B$9)+IF(MOD(INT(F43*'Price rules'!$B$7),'Price rules'!$B$9)&lt;'Price rules'!$B$10,0,'Price rules'!$B$9))</x:f>
        <x:v>3725</x:v>
      </x:c>
      <x:c r="I43" s="30" t="n">
        <x:f>IF(F43="","",FLOOR(INT(F43*'Price rules'!$B$8),'Price rules'!$B$9)+IF(MOD(INT(F43*'Price rules'!$B$8),'Price rules'!$B$9)&lt;'Price rules'!$B$10,0,'Price rules'!$B$9))</x:f>
        <x:v>4140</x:v>
      </x:c>
      <x:c r="J43" s="30" t="n">
        <x:f>IF(N43="conditional","",SUMIFS($F$5:$F$394,$A$5:$A$394,A43,$C$5:$C$394,C43,$D$5:$D$394,"&lt;="&amp;D43)+SUMIF(Towers!$A$5:$A$30,A43,Towers!$E$5:$E$30))</x:f>
        <x:v>5475</x:v>
      </x:c>
      <x:c r="K43" s="30" t="n">
        <x:v>10000</x:v>
      </x:c>
      <x:c r="L43" s="25" t="str">
        <x:v>tank_killer</x:v>
      </x:c>
      <x:c r="M43" s="25" t="str">
        <x:v>Adds a targeted anti-MOAB missile ability and improves normal attacks.</x:v>
      </x:c>
      <x:c r="N43" s="25" t="str">
        <x:v>fixed_upgrade_price</x:v>
      </x:c>
      <x:c r="O43" s="30" t="n">
        <x:v>3450</x:v>
      </x:c>
      <x:c r="P43" s="25" t="str">
        <x:v>https://raw.githubusercontent.com/Btd6ModHelper/btd6-game-data/main/Towers/BombShooter/BombShooter-040.json</x:v>
      </x:c>
      <x:c r="Q43" s="25" t="str">
        <x:v>https://raw.githubusercontent.com/hemisemidemipresent/cyberquincy/master/jsons/costs.json</x:v>
      </x:c>
      <x:c r="R43" s="25" t="str">
        <x:v>https://raw.githubusercontent.com/Btd6ModHelper/btd6-game-data/main/textTable.json</x:v>
      </x:c>
      <x:c r="S43" s="25" t="str">
        <x:v>https://www.bloonswiki.com/Bomb_Shooter_(BTD6)</x:v>
      </x:c>
      <x:c r="T43" s="25" t="str">
        <x:v>47.0</x:v>
      </x:c>
    </x:row>
    <x:row r="44" ht="64" customHeight="1">
      <x:c r="A44" s="25" t="str">
        <x:v>Bomb Shooter</x:v>
      </x:c>
      <x:c r="B44" s="80" t="str">
        <x:v>050</x:v>
      </x:c>
      <x:c r="C44" s="25" t="str">
        <x:v>middle</x:v>
      </x:c>
      <x:c r="D44" s="25" t="n">
        <x:v>5</x:v>
      </x:c>
      <x:c r="E44" s="25" t="str">
        <x:v>MOAB Eliminator</x:v>
      </x:c>
      <x:c r="F44" s="30" t="n">
        <x:v>26000</x:v>
      </x:c>
      <x:c r="G44" s="30" t="n">
        <x:f>IF(F44="","",FLOOR(INT(F44*'Price rules'!$B$5),'Price rules'!$B$9)+IF(MOD(INT(F44*'Price rules'!$B$5),'Price rules'!$B$9)&lt;'Price rules'!$B$10,0,'Price rules'!$B$9))</x:f>
        <x:v>22100</x:v>
      </x:c>
      <x:c r="H44" s="30" t="n">
        <x:f>IF(F44="","",FLOOR(INT(F44*'Price rules'!$B$7),'Price rules'!$B$9)+IF(MOD(INT(F44*'Price rules'!$B$7),'Price rules'!$B$9)&lt;'Price rules'!$B$10,0,'Price rules'!$B$9))</x:f>
        <x:v>28080</x:v>
      </x:c>
      <x:c r="I44" s="30" t="n">
        <x:f>IF(F44="","",FLOOR(INT(F44*'Price rules'!$B$8),'Price rules'!$B$9)+IF(MOD(INT(F44*'Price rules'!$B$8),'Price rules'!$B$9)&lt;'Price rules'!$B$10,0,'Price rules'!$B$9))</x:f>
        <x:v>31200</x:v>
      </x:c>
      <x:c r="J44" s="30" t="n">
        <x:f>IF(N44="conditional","",SUMIFS($F$5:$F$394,$A$5:$A$394,A44,$C$5:$C$394,C44,$D$5:$D$394,"&lt;="&amp;D44)+SUMIF(Towers!$A$5:$A$30,A44,Towers!$E$5:$E$30))</x:f>
        <x:v>31475</x:v>
      </x:c>
      <x:c r="K44" s="30" t="n">
        <x:v>35000</x:v>
      </x:c>
      <x:c r="L44" s="25" t="str">
        <x:v>tank_killer</x:v>
      </x:c>
      <x:c r="M44" s="25" t="str">
        <x:v>Strengthens anti-MOAB damage and shortens the missile ability cooldown.</x:v>
      </x:c>
      <x:c r="N44" s="25" t="str">
        <x:v>fixed_upgrade_price</x:v>
      </x:c>
      <x:c r="O44" s="30" t="n">
        <x:v>26000</x:v>
      </x:c>
      <x:c r="P44" s="25" t="str">
        <x:v>https://raw.githubusercontent.com/Btd6ModHelper/btd6-game-data/main/Towers/BombShooter/BombShooter-050.json</x:v>
      </x:c>
      <x:c r="Q44" s="25" t="str">
        <x:v>https://raw.githubusercontent.com/hemisemidemipresent/cyberquincy/master/jsons/costs.json</x:v>
      </x:c>
      <x:c r="R44" s="25" t="str">
        <x:v>https://raw.githubusercontent.com/Btd6ModHelper/btd6-game-data/main/textTable.json</x:v>
      </x:c>
      <x:c r="S44" s="25" t="str">
        <x:v>https://www.bloonswiki.com/Bomb_Shooter_(BTD6)</x:v>
      </x:c>
      <x:c r="T44" s="25" t="str">
        <x:v>47.0</x:v>
      </x:c>
    </x:row>
    <x:row r="45" ht="64" customHeight="1">
      <x:c r="A45" s="25" t="str">
        <x:v>Bomb Shooter</x:v>
      </x:c>
      <x:c r="B45" s="80" t="str">
        <x:v>001</x:v>
      </x:c>
      <x:c r="C45" s="25" t="str">
        <x:v>bottom</x:v>
      </x:c>
      <x:c r="D45" s="25" t="n">
        <x:v>1</x:v>
      </x:c>
      <x:c r="E45" s="25" t="str">
        <x:v>Extra Range</x:v>
      </x:c>
      <x:c r="F45" s="30" t="n">
        <x:v>200</x:v>
      </x:c>
      <x:c r="G45" s="30" t="n">
        <x:f>IF(F45="","",FLOOR(INT(F45*'Price rules'!$B$5),'Price rules'!$B$9)+IF(MOD(INT(F45*'Price rules'!$B$5),'Price rules'!$B$9)&lt;'Price rules'!$B$10,0,'Price rules'!$B$9))</x:f>
        <x:v>170</x:v>
      </x:c>
      <x:c r="H45" s="30" t="n">
        <x:f>IF(F45="","",FLOOR(INT(F45*'Price rules'!$B$7),'Price rules'!$B$9)+IF(MOD(INT(F45*'Price rules'!$B$7),'Price rules'!$B$9)&lt;'Price rules'!$B$10,0,'Price rules'!$B$9))</x:f>
        <x:v>215</x:v>
      </x:c>
      <x:c r="I45" s="30" t="n">
        <x:f>IF(F45="","",FLOOR(INT(F45*'Price rules'!$B$8),'Price rules'!$B$9)+IF(MOD(INT(F45*'Price rules'!$B$8),'Price rules'!$B$9)&lt;'Price rules'!$B$10,0,'Price rules'!$B$9))</x:f>
        <x:v>240</x:v>
      </x:c>
      <x:c r="J45" s="30" t="n">
        <x:f>IF(N45="conditional","",SUMIFS($F$5:$F$394,$A$5:$A$394,A45,$C$5:$C$394,C45,$D$5:$D$394,"&lt;="&amp;D45)+SUMIF(Towers!$A$5:$A$30,A45,Towers!$E$5:$E$30))</x:f>
        <x:v>575</x:v>
      </x:c>
      <x:c r="K45" s="30" t="n">
        <x:v>150</x:v>
      </x:c>
      <x:c r="L45" s="25" t="str">
        <x:v>splash</x:v>
      </x:c>
      <x:c r="M45" s="25" t="str">
        <x:v>Increases attack range.</x:v>
      </x:c>
      <x:c r="N45" s="25" t="str">
        <x:v>fixed_upgrade_price</x:v>
      </x:c>
      <x:c r="O45" s="30" t="n">
        <x:v>200</x:v>
      </x:c>
      <x:c r="P45" s="25" t="str">
        <x:v>https://raw.githubusercontent.com/Btd6ModHelper/btd6-game-data/main/Towers/BombShooter/BombShooter-001.json</x:v>
      </x:c>
      <x:c r="Q45" s="25" t="str">
        <x:v>https://raw.githubusercontent.com/hemisemidemipresent/cyberquincy/master/jsons/costs.json</x:v>
      </x:c>
      <x:c r="R45" s="25" t="str">
        <x:v>https://raw.githubusercontent.com/Btd6ModHelper/btd6-game-data/main/textTable.json</x:v>
      </x:c>
      <x:c r="S45" s="25" t="str">
        <x:v>https://www.bloonswiki.com/Bomb_Shooter_(BTD6)</x:v>
      </x:c>
      <x:c r="T45" s="25" t="str">
        <x:v>47.0</x:v>
      </x:c>
    </x:row>
    <x:row r="46" ht="64" customHeight="1">
      <x:c r="A46" s="25" t="str">
        <x:v>Bomb Shooter</x:v>
      </x:c>
      <x:c r="B46" s="80" t="str">
        <x:v>002</x:v>
      </x:c>
      <x:c r="C46" s="25" t="str">
        <x:v>bottom</x:v>
      </x:c>
      <x:c r="D46" s="25" t="n">
        <x:v>2</x:v>
      </x:c>
      <x:c r="E46" s="25" t="str">
        <x:v>Frag Bombs</x:v>
      </x:c>
      <x:c r="F46" s="30" t="n">
        <x:v>300</x:v>
      </x:c>
      <x:c r="G46" s="30" t="n">
        <x:f>IF(F46="","",FLOOR(INT(F46*'Price rules'!$B$5),'Price rules'!$B$9)+IF(MOD(INT(F46*'Price rules'!$B$5),'Price rules'!$B$9)&lt;'Price rules'!$B$10,0,'Price rules'!$B$9))</x:f>
        <x:v>255</x:v>
      </x:c>
      <x:c r="H46" s="30" t="n">
        <x:f>IF(F46="","",FLOOR(INT(F46*'Price rules'!$B$7),'Price rules'!$B$9)+IF(MOD(INT(F46*'Price rules'!$B$7),'Price rules'!$B$9)&lt;'Price rules'!$B$10,0,'Price rules'!$B$9))</x:f>
        <x:v>325</x:v>
      </x:c>
      <x:c r="I46" s="30" t="n">
        <x:f>IF(F46="","",FLOOR(INT(F46*'Price rules'!$B$8),'Price rules'!$B$9)+IF(MOD(INT(F46*'Price rules'!$B$8),'Price rules'!$B$9)&lt;'Price rules'!$B$10,0,'Price rules'!$B$9))</x:f>
        <x:v>360</x:v>
      </x:c>
      <x:c r="J46" s="30" t="n">
        <x:f>IF(N46="conditional","",SUMIFS($F$5:$F$394,$A$5:$A$394,A46,$C$5:$C$394,C46,$D$5:$D$394,"&lt;="&amp;D46)+SUMIF(Towers!$A$5:$A$30,A46,Towers!$E$5:$E$30))</x:f>
        <x:v>875</x:v>
      </x:c>
      <x:c r="K46" s="30" t="n">
        <x:v>600</x:v>
      </x:c>
      <x:c r="L46" s="25" t="str">
        <x:v>splash</x:v>
      </x:c>
      <x:c r="M46" s="25" t="str">
        <x:v>Bombs release damaging fragments.</x:v>
      </x:c>
      <x:c r="N46" s="25" t="str">
        <x:v>fixed_upgrade_price</x:v>
      </x:c>
      <x:c r="O46" s="30" t="n">
        <x:v>300</x:v>
      </x:c>
      <x:c r="P46" s="25" t="str">
        <x:v>https://raw.githubusercontent.com/Btd6ModHelper/btd6-game-data/main/Towers/BombShooter/BombShooter-002.json</x:v>
      </x:c>
      <x:c r="Q46" s="25" t="str">
        <x:v>https://raw.githubusercontent.com/hemisemidemipresent/cyberquincy/master/jsons/costs.json</x:v>
      </x:c>
      <x:c r="R46" s="25" t="str">
        <x:v>https://raw.githubusercontent.com/Btd6ModHelper/btd6-game-data/main/textTable.json</x:v>
      </x:c>
      <x:c r="S46" s="25" t="str">
        <x:v>https://www.bloonswiki.com/Bomb_Shooter_(BTD6)</x:v>
      </x:c>
      <x:c r="T46" s="25" t="str">
        <x:v>47.0</x:v>
      </x:c>
    </x:row>
    <x:row r="47" ht="64" customHeight="1">
      <x:c r="A47" s="25" t="str">
        <x:v>Bomb Shooter</x:v>
      </x:c>
      <x:c r="B47" s="80" t="str">
        <x:v>003</x:v>
      </x:c>
      <x:c r="C47" s="25" t="str">
        <x:v>bottom</x:v>
      </x:c>
      <x:c r="D47" s="25" t="n">
        <x:v>3</x:v>
      </x:c>
      <x:c r="E47" s="25" t="str">
        <x:v>Cluster Bombs</x:v>
      </x:c>
      <x:c r="F47" s="30" t="n">
        <x:v>700</x:v>
      </x:c>
      <x:c r="G47" s="30" t="n">
        <x:f>IF(F47="","",FLOOR(INT(F47*'Price rules'!$B$5),'Price rules'!$B$9)+IF(MOD(INT(F47*'Price rules'!$B$5),'Price rules'!$B$9)&lt;'Price rules'!$B$10,0,'Price rules'!$B$9))</x:f>
        <x:v>595</x:v>
      </x:c>
      <x:c r="H47" s="30" t="n">
        <x:f>IF(F47="","",FLOOR(INT(F47*'Price rules'!$B$7),'Price rules'!$B$9)+IF(MOD(INT(F47*'Price rules'!$B$7),'Price rules'!$B$9)&lt;'Price rules'!$B$10,0,'Price rules'!$B$9))</x:f>
        <x:v>755</x:v>
      </x:c>
      <x:c r="I47" s="30" t="n">
        <x:f>IF(F47="","",FLOOR(INT(F47*'Price rules'!$B$8),'Price rules'!$B$9)+IF(MOD(INT(F47*'Price rules'!$B$8),'Price rules'!$B$9)&lt;'Price rules'!$B$10,0,'Price rules'!$B$9))</x:f>
        <x:v>840</x:v>
      </x:c>
      <x:c r="J47" s="30" t="n">
        <x:f>IF(N47="conditional","",SUMIFS($F$5:$F$394,$A$5:$A$394,A47,$C$5:$C$394,C47,$D$5:$D$394,"&lt;="&amp;D47)+SUMIF(Towers!$A$5:$A$30,A47,Towers!$E$5:$E$30))</x:f>
        <x:v>1575</x:v>
      </x:c>
      <x:c r="K47" s="30" t="n">
        <x:v>2500</x:v>
      </x:c>
      <x:c r="L47" s="25" t="str">
        <x:v>splash</x:v>
      </x:c>
      <x:c r="M47" s="25" t="str">
        <x:v>Replaces fragments with secondary explosions.</x:v>
      </x:c>
      <x:c r="N47" s="25" t="str">
        <x:v>fixed_upgrade_price</x:v>
      </x:c>
      <x:c r="O47" s="30" t="n">
        <x:v>700</x:v>
      </x:c>
      <x:c r="P47" s="25" t="str">
        <x:v>https://raw.githubusercontent.com/Btd6ModHelper/btd6-game-data/main/Towers/BombShooter/BombShooter-003.json</x:v>
      </x:c>
      <x:c r="Q47" s="25" t="str">
        <x:v>https://raw.githubusercontent.com/hemisemidemipresent/cyberquincy/master/jsons/costs.json</x:v>
      </x:c>
      <x:c r="R47" s="25" t="str">
        <x:v>https://raw.githubusercontent.com/Btd6ModHelper/btd6-game-data/main/textTable.json</x:v>
      </x:c>
      <x:c r="S47" s="25" t="str">
        <x:v>https://www.bloonswiki.com/Bomb_Shooter_(BTD6)</x:v>
      </x:c>
      <x:c r="T47" s="25" t="str">
        <x:v>47.0</x:v>
      </x:c>
    </x:row>
    <x:row r="48" ht="64" customHeight="1">
      <x:c r="A48" s="25" t="str">
        <x:v>Bomb Shooter</x:v>
      </x:c>
      <x:c r="B48" s="80" t="str">
        <x:v>004</x:v>
      </x:c>
      <x:c r="C48" s="25" t="str">
        <x:v>bottom</x:v>
      </x:c>
      <x:c r="D48" s="25" t="n">
        <x:v>4</x:v>
      </x:c>
      <x:c r="E48" s="25" t="str">
        <x:v>Recursive Cluster</x:v>
      </x:c>
      <x:c r="F48" s="30" t="n">
        <x:v>2500</x:v>
      </x:c>
      <x:c r="G48" s="30" t="n">
        <x:f>IF(F48="","",FLOOR(INT(F48*'Price rules'!$B$5),'Price rules'!$B$9)+IF(MOD(INT(F48*'Price rules'!$B$5),'Price rules'!$B$9)&lt;'Price rules'!$B$10,0,'Price rules'!$B$9))</x:f>
        <x:v>2125</x:v>
      </x:c>
      <x:c r="H48" s="30" t="n">
        <x:f>IF(F48="","",FLOOR(INT(F48*'Price rules'!$B$7),'Price rules'!$B$9)+IF(MOD(INT(F48*'Price rules'!$B$7),'Price rules'!$B$9)&lt;'Price rules'!$B$10,0,'Price rules'!$B$9))</x:f>
        <x:v>2700</x:v>
      </x:c>
      <x:c r="I48" s="30" t="n">
        <x:f>IF(F48="","",FLOOR(INT(F48*'Price rules'!$B$8),'Price rules'!$B$9)+IF(MOD(INT(F48*'Price rules'!$B$8),'Price rules'!$B$9)&lt;'Price rules'!$B$10,0,'Price rules'!$B$9))</x:f>
        <x:v>3000</x:v>
      </x:c>
      <x:c r="J48" s="30" t="n">
        <x:f>IF(N48="conditional","",SUMIFS($F$5:$F$394,$A$5:$A$394,A48,$C$5:$C$394,C48,$D$5:$D$394,"&lt;="&amp;D48)+SUMIF(Towers!$A$5:$A$30,A48,Towers!$E$5:$E$30))</x:f>
        <x:v>4075</x:v>
      </x:c>
      <x:c r="K48" s="30" t="n">
        <x:v>10000</x:v>
      </x:c>
      <x:c r="L48" s="25" t="str">
        <x:v>splash</x:v>
      </x:c>
      <x:c r="M48" s="25" t="str">
        <x:v>Every second attack adds another generation of cluster explosions.</x:v>
      </x:c>
      <x:c r="N48" s="25" t="str">
        <x:v>fixed_upgrade_price</x:v>
      </x:c>
      <x:c r="O48" s="30" t="n">
        <x:v>2500</x:v>
      </x:c>
      <x:c r="P48" s="25" t="str">
        <x:v>https://raw.githubusercontent.com/Btd6ModHelper/btd6-game-data/main/Towers/BombShooter/BombShooter-004.json</x:v>
      </x:c>
      <x:c r="Q48" s="25" t="str">
        <x:v>https://raw.githubusercontent.com/hemisemidemipresent/cyberquincy/master/jsons/costs.json</x:v>
      </x:c>
      <x:c r="R48" s="25" t="str">
        <x:v>https://raw.githubusercontent.com/Btd6ModHelper/btd6-game-data/main/textTable.json</x:v>
      </x:c>
      <x:c r="S48" s="25" t="str">
        <x:v>https://www.bloonswiki.com/Bomb_Shooter_(BTD6)</x:v>
      </x:c>
      <x:c r="T48" s="25" t="str">
        <x:v>47.0</x:v>
      </x:c>
    </x:row>
    <x:row r="49" ht="64" customHeight="1">
      <x:c r="A49" s="25" t="str">
        <x:v>Bomb Shooter</x:v>
      </x:c>
      <x:c r="B49" s="80" t="str">
        <x:v>005</x:v>
      </x:c>
      <x:c r="C49" s="25" t="str">
        <x:v>bottom</x:v>
      </x:c>
      <x:c r="D49" s="25" t="n">
        <x:v>5</x:v>
      </x:c>
      <x:c r="E49" s="25" t="str">
        <x:v>Bomb Blitz</x:v>
      </x:c>
      <x:c r="F49" s="30" t="n">
        <x:v>30000</x:v>
      </x:c>
      <x:c r="G49" s="30" t="n">
        <x:f>IF(F49="","",FLOOR(INT(F49*'Price rules'!$B$5),'Price rules'!$B$9)+IF(MOD(INT(F49*'Price rules'!$B$5),'Price rules'!$B$9)&lt;'Price rules'!$B$10,0,'Price rules'!$B$9))</x:f>
        <x:v>25500</x:v>
      </x:c>
      <x:c r="H49" s="30" t="n">
        <x:f>IF(F49="","",FLOOR(INT(F49*'Price rules'!$B$7),'Price rules'!$B$9)+IF(MOD(INT(F49*'Price rules'!$B$7),'Price rules'!$B$9)&lt;'Price rules'!$B$10,0,'Price rules'!$B$9))</x:f>
        <x:v>32400</x:v>
      </x:c>
      <x:c r="I49" s="30" t="n">
        <x:f>IF(F49="","",FLOOR(INT(F49*'Price rules'!$B$8),'Price rules'!$B$9)+IF(MOD(INT(F49*'Price rules'!$B$8),'Price rules'!$B$9)&lt;'Price rules'!$B$10,0,'Price rules'!$B$9))</x:f>
        <x:v>36000</x:v>
      </x:c>
      <x:c r="J49" s="30" t="n">
        <x:f>IF(N49="conditional","",SUMIFS($F$5:$F$394,$A$5:$A$394,A49,$C$5:$C$394,C49,$D$5:$D$394,"&lt;="&amp;D49)+SUMIF(Towers!$A$5:$A$30,A49,Towers!$E$5:$E$30))</x:f>
        <x:v>34075</x:v>
      </x:c>
      <x:c r="K49" s="30" t="n">
        <x:v>25000</x:v>
      </x:c>
      <x:c r="L49" s="25" t="str">
        <x:v>splash</x:v>
      </x:c>
      <x:c r="M49" s="25" t="str">
        <x:v>Increases damage and adds an automatic emergency Bomb Storm when lives would be lost.</x:v>
      </x:c>
      <x:c r="N49" s="25" t="str">
        <x:v>fixed_upgrade_price</x:v>
      </x:c>
      <x:c r="O49" s="30" t="n">
        <x:v>30000</x:v>
      </x:c>
      <x:c r="P49" s="25" t="str">
        <x:v>https://raw.githubusercontent.com/Btd6ModHelper/btd6-game-data/main/Towers/BombShooter/BombShooter-005.json</x:v>
      </x:c>
      <x:c r="Q49" s="25" t="str">
        <x:v>https://raw.githubusercontent.com/hemisemidemipresent/cyberquincy/master/jsons/costs.json</x:v>
      </x:c>
      <x:c r="R49" s="25" t="str">
        <x:v>https://raw.githubusercontent.com/Btd6ModHelper/btd6-game-data/main/textTable.json</x:v>
      </x:c>
      <x:c r="S49" s="25" t="str">
        <x:v>https://www.bloonswiki.com/Bomb_Shooter_(BTD6)</x:v>
      </x:c>
      <x:c r="T49" s="25" t="str">
        <x:v>47.0</x:v>
      </x:c>
    </x:row>
    <x:row r="50" ht="64" customHeight="1">
      <x:c r="A50" s="25" t="str">
        <x:v>Tack Shooter</x:v>
      </x:c>
      <x:c r="B50" s="80" t="str">
        <x:v>100</x:v>
      </x:c>
      <x:c r="C50" s="25" t="str">
        <x:v>top</x:v>
      </x:c>
      <x:c r="D50" s="25" t="n">
        <x:v>1</x:v>
      </x:c>
      <x:c r="E50" s="25" t="str">
        <x:v>Faster Shooting</x:v>
      </x:c>
      <x:c r="F50" s="30" t="n">
        <x:v>150</x:v>
      </x:c>
      <x:c r="G50" s="30" t="n">
        <x:f>IF(F50="","",FLOOR(INT(F50*'Price rules'!$B$5),'Price rules'!$B$9)+IF(MOD(INT(F50*'Price rules'!$B$5),'Price rules'!$B$9)&lt;'Price rules'!$B$10,0,'Price rules'!$B$9))</x:f>
        <x:v>125</x:v>
      </x:c>
      <x:c r="H50" s="30" t="n">
        <x:f>IF(F50="","",FLOOR(INT(F50*'Price rules'!$B$7),'Price rules'!$B$9)+IF(MOD(INT(F50*'Price rules'!$B$7),'Price rules'!$B$9)&lt;'Price rules'!$B$10,0,'Price rules'!$B$9))</x:f>
        <x:v>160</x:v>
      </x:c>
      <x:c r="I50" s="30" t="n">
        <x:f>IF(F50="","",FLOOR(INT(F50*'Price rules'!$B$8),'Price rules'!$B$9)+IF(MOD(INT(F50*'Price rules'!$B$8),'Price rules'!$B$9)&lt;'Price rules'!$B$10,0,'Price rules'!$B$9))</x:f>
        <x:v>180</x:v>
      </x:c>
      <x:c r="J50" s="30" t="n">
        <x:f>IF(N50="conditional","",SUMIFS($F$5:$F$394,$A$5:$A$394,A50,$C$5:$C$394,C50,$D$5:$D$394,"&lt;="&amp;D50)+SUMIF(Towers!$A$5:$A$30,A50,Towers!$E$5:$E$30))</x:f>
        <x:v>410</x:v>
      </x:c>
      <x:c r="K50" s="30"/>
      <x:c r="L50" s="25" t="str">
        <x:v>splash</x:v>
      </x:c>
      <x:c r="M50" s="25" t="str">
        <x:v>Reduces the interval between tack volleys.</x:v>
      </x:c>
      <x:c r="N50" s="25" t="str">
        <x:v>fixed_upgrade_price</x:v>
      </x:c>
      <x:c r="O50" s="30" t="n">
        <x:v>150</x:v>
      </x:c>
      <x:c r="P50" s="25" t="str">
        <x:v>https://raw.githubusercontent.com/Btd6ModHelper/btd6-game-data/main/Towers/TackShooter/TackShooter-100.json</x:v>
      </x:c>
      <x:c r="Q50" s="25" t="str">
        <x:v>https://raw.githubusercontent.com/hemisemidemipresent/cyberquincy/master/jsons/costs.json</x:v>
      </x:c>
      <x:c r="R50" s="25" t="str">
        <x:v>https://raw.githubusercontent.com/Btd6ModHelper/btd6-game-data/main/textTable.json</x:v>
      </x:c>
      <x:c r="S50" s="25"/>
      <x:c r="T50" s="25"/>
    </x:row>
    <x:row r="51" ht="64" customHeight="1">
      <x:c r="A51" s="25" t="str">
        <x:v>Tack Shooter</x:v>
      </x:c>
      <x:c r="B51" s="80" t="str">
        <x:v>200</x:v>
      </x:c>
      <x:c r="C51" s="25" t="str">
        <x:v>top</x:v>
      </x:c>
      <x:c r="D51" s="25" t="n">
        <x:v>2</x:v>
      </x:c>
      <x:c r="E51" s="25" t="str">
        <x:v>Even Faster Shooting</x:v>
      </x:c>
      <x:c r="F51" s="30" t="n">
        <x:v>220</x:v>
      </x:c>
      <x:c r="G51" s="30" t="n">
        <x:f>IF(F51="","",FLOOR(INT(F51*'Price rules'!$B$5),'Price rules'!$B$9)+IF(MOD(INT(F51*'Price rules'!$B$5),'Price rules'!$B$9)&lt;'Price rules'!$B$10,0,'Price rules'!$B$9))</x:f>
        <x:v>185</x:v>
      </x:c>
      <x:c r="H51" s="30" t="n">
        <x:f>IF(F51="","",FLOOR(INT(F51*'Price rules'!$B$7),'Price rules'!$B$9)+IF(MOD(INT(F51*'Price rules'!$B$7),'Price rules'!$B$9)&lt;'Price rules'!$B$10,0,'Price rules'!$B$9))</x:f>
        <x:v>235</x:v>
      </x:c>
      <x:c r="I51" s="30" t="n">
        <x:f>IF(F51="","",FLOOR(INT(F51*'Price rules'!$B$8),'Price rules'!$B$9)+IF(MOD(INT(F51*'Price rules'!$B$8),'Price rules'!$B$9)&lt;'Price rules'!$B$10,0,'Price rules'!$B$9))</x:f>
        <x:v>265</x:v>
      </x:c>
      <x:c r="J51" s="30" t="n">
        <x:f>IF(N51="conditional","",SUMIFS($F$5:$F$394,$A$5:$A$394,A51,$C$5:$C$394,C51,$D$5:$D$394,"&lt;="&amp;D51)+SUMIF(Towers!$A$5:$A$30,A51,Towers!$E$5:$E$30))</x:f>
        <x:v>630</x:v>
      </x:c>
      <x:c r="K51" s="30"/>
      <x:c r="L51" s="25" t="str">
        <x:v>splash</x:v>
      </x:c>
      <x:c r="M51" s="25" t="str">
        <x:v>Further increases firing speed.</x:v>
      </x:c>
      <x:c r="N51" s="25" t="str">
        <x:v>fixed_upgrade_price</x:v>
      </x:c>
      <x:c r="O51" s="30" t="n">
        <x:v>220</x:v>
      </x:c>
      <x:c r="P51" s="25" t="str">
        <x:v>https://raw.githubusercontent.com/Btd6ModHelper/btd6-game-data/main/Towers/TackShooter/TackShooter-200.json</x:v>
      </x:c>
      <x:c r="Q51" s="25" t="str">
        <x:v>https://raw.githubusercontent.com/hemisemidemipresent/cyberquincy/master/jsons/costs.json</x:v>
      </x:c>
      <x:c r="R51" s="25" t="str">
        <x:v>https://raw.githubusercontent.com/Btd6ModHelper/btd6-game-data/main/textTable.json</x:v>
      </x:c>
      <x:c r="S51" s="25"/>
      <x:c r="T51" s="25"/>
    </x:row>
    <x:row r="52" ht="64" customHeight="1">
      <x:c r="A52" s="25" t="str">
        <x:v>Tack Shooter</x:v>
      </x:c>
      <x:c r="B52" s="80" t="str">
        <x:v>300</x:v>
      </x:c>
      <x:c r="C52" s="25" t="str">
        <x:v>top</x:v>
      </x:c>
      <x:c r="D52" s="25" t="n">
        <x:v>3</x:v>
      </x:c>
      <x:c r="E52" s="25" t="str">
        <x:v>Hot Shots</x:v>
      </x:c>
      <x:c r="F52" s="30" t="n">
        <x:v>600</x:v>
      </x:c>
      <x:c r="G52" s="30" t="n">
        <x:f>IF(F52="","",FLOOR(INT(F52*'Price rules'!$B$5),'Price rules'!$B$9)+IF(MOD(INT(F52*'Price rules'!$B$5),'Price rules'!$B$9)&lt;'Price rules'!$B$10,0,'Price rules'!$B$9))</x:f>
        <x:v>510</x:v>
      </x:c>
      <x:c r="H52" s="30" t="n">
        <x:f>IF(F52="","",FLOOR(INT(F52*'Price rules'!$B$7),'Price rules'!$B$9)+IF(MOD(INT(F52*'Price rules'!$B$7),'Price rules'!$B$9)&lt;'Price rules'!$B$10,0,'Price rules'!$B$9))</x:f>
        <x:v>650</x:v>
      </x:c>
      <x:c r="I52" s="30" t="n">
        <x:f>IF(F52="","",FLOOR(INT(F52*'Price rules'!$B$8),'Price rules'!$B$9)+IF(MOD(INT(F52*'Price rules'!$B$8),'Price rules'!$B$9)&lt;'Price rules'!$B$10,0,'Price rules'!$B$9))</x:f>
        <x:v>720</x:v>
      </x:c>
      <x:c r="J52" s="30" t="n">
        <x:f>IF(N52="conditional","",SUMIFS($F$5:$F$394,$A$5:$A$394,A52,$C$5:$C$394,C52,$D$5:$D$394,"&lt;="&amp;D52)+SUMIF(Towers!$A$5:$A$30,A52,Towers!$E$5:$E$30))</x:f>
        <x:v>1230</x:v>
      </x:c>
      <x:c r="K52" s="30"/>
      <x:c r="L52" s="25" t="str">
        <x:v>splash</x:v>
      </x:c>
      <x:c r="M52" s="25" t="str">
        <x:v>Adds damage and Lead popping to the tacks.</x:v>
      </x:c>
      <x:c r="N52" s="25" t="str">
        <x:v>fixed_upgrade_price</x:v>
      </x:c>
      <x:c r="O52" s="30" t="n">
        <x:v>600</x:v>
      </x:c>
      <x:c r="P52" s="25" t="str">
        <x:v>https://raw.githubusercontent.com/Btd6ModHelper/btd6-game-data/main/Towers/TackShooter/TackShooter-300.json</x:v>
      </x:c>
      <x:c r="Q52" s="25" t="str">
        <x:v>https://raw.githubusercontent.com/hemisemidemipresent/cyberquincy/master/jsons/costs.json</x:v>
      </x:c>
      <x:c r="R52" s="25" t="str">
        <x:v>https://raw.githubusercontent.com/Btd6ModHelper/btd6-game-data/main/textTable.json</x:v>
      </x:c>
      <x:c r="S52" s="25"/>
      <x:c r="T52" s="25"/>
    </x:row>
    <x:row r="53" ht="64" customHeight="1">
      <x:c r="A53" s="25" t="str">
        <x:v>Tack Shooter</x:v>
      </x:c>
      <x:c r="B53" s="80" t="str">
        <x:v>400</x:v>
      </x:c>
      <x:c r="C53" s="25" t="str">
        <x:v>top</x:v>
      </x:c>
      <x:c r="D53" s="25" t="n">
        <x:v>4</x:v>
      </x:c>
      <x:c r="E53" s="25" t="str">
        <x:v>Ring of Fire</x:v>
      </x:c>
      <x:c r="F53" s="30" t="n">
        <x:v>3500</x:v>
      </x:c>
      <x:c r="G53" s="30" t="n">
        <x:f>IF(F53="","",FLOOR(INT(F53*'Price rules'!$B$5),'Price rules'!$B$9)+IF(MOD(INT(F53*'Price rules'!$B$5),'Price rules'!$B$9)&lt;'Price rules'!$B$10,0,'Price rules'!$B$9))</x:f>
        <x:v>2975</x:v>
      </x:c>
      <x:c r="H53" s="30" t="n">
        <x:f>IF(F53="","",FLOOR(INT(F53*'Price rules'!$B$7),'Price rules'!$B$9)+IF(MOD(INT(F53*'Price rules'!$B$7),'Price rules'!$B$9)&lt;'Price rules'!$B$10,0,'Price rules'!$B$9))</x:f>
        <x:v>3780</x:v>
      </x:c>
      <x:c r="I53" s="30" t="n">
        <x:f>IF(F53="","",FLOOR(INT(F53*'Price rules'!$B$8),'Price rules'!$B$9)+IF(MOD(INT(F53*'Price rules'!$B$8),'Price rules'!$B$9)&lt;'Price rules'!$B$10,0,'Price rules'!$B$9))</x:f>
        <x:v>4200</x:v>
      </x:c>
      <x:c r="J53" s="30" t="n">
        <x:f>IF(N53="conditional","",SUMIFS($F$5:$F$394,$A$5:$A$394,A53,$C$5:$C$394,C53,$D$5:$D$394,"&lt;="&amp;D53)+SUMIF(Towers!$A$5:$A$30,A53,Towers!$E$5:$E$30))</x:f>
        <x:v>4730</x:v>
      </x:c>
      <x:c r="K53" s="30"/>
      <x:c r="L53" s="25" t="str">
        <x:v>splash</x:v>
      </x:c>
      <x:c r="M53" s="25" t="str">
        <x:v>Replaces tack volleys with a circular fire attack.</x:v>
      </x:c>
      <x:c r="N53" s="25" t="str">
        <x:v>fixed_upgrade_price</x:v>
      </x:c>
      <x:c r="O53" s="30" t="n">
        <x:v>3500</x:v>
      </x:c>
      <x:c r="P53" s="25" t="str">
        <x:v>https://raw.githubusercontent.com/Btd6ModHelper/btd6-game-data/main/Towers/TackShooter/TackShooter-400.json</x:v>
      </x:c>
      <x:c r="Q53" s="25" t="str">
        <x:v>https://raw.githubusercontent.com/hemisemidemipresent/cyberquincy/master/jsons/costs.json</x:v>
      </x:c>
      <x:c r="R53" s="25" t="str">
        <x:v>https://raw.githubusercontent.com/Btd6ModHelper/btd6-game-data/main/textTable.json</x:v>
      </x:c>
      <x:c r="S53" s="25"/>
      <x:c r="T53" s="25"/>
    </x:row>
    <x:row r="54" ht="64" customHeight="1">
      <x:c r="A54" s="25" t="str">
        <x:v>Tack Shooter</x:v>
      </x:c>
      <x:c r="B54" s="80" t="str">
        <x:v>500</x:v>
      </x:c>
      <x:c r="C54" s="25" t="str">
        <x:v>top</x:v>
      </x:c>
      <x:c r="D54" s="25" t="n">
        <x:v>5</x:v>
      </x:c>
      <x:c r="E54" s="25" t="str">
        <x:v>Inferno Ring</x:v>
      </x:c>
      <x:c r="F54" s="30" t="n">
        <x:v>45500</x:v>
      </x:c>
      <x:c r="G54" s="30" t="n">
        <x:f>IF(F54="","",FLOOR(INT(F54*'Price rules'!$B$5),'Price rules'!$B$9)+IF(MOD(INT(F54*'Price rules'!$B$5),'Price rules'!$B$9)&lt;'Price rules'!$B$10,0,'Price rules'!$B$9))</x:f>
        <x:v>38675</x:v>
      </x:c>
      <x:c r="H54" s="30" t="n">
        <x:f>IF(F54="","",FLOOR(INT(F54*'Price rules'!$B$7),'Price rules'!$B$9)+IF(MOD(INT(F54*'Price rules'!$B$7),'Price rules'!$B$9)&lt;'Price rules'!$B$10,0,'Price rules'!$B$9))</x:f>
        <x:v>49140</x:v>
      </x:c>
      <x:c r="I54" s="30" t="n">
        <x:f>IF(F54="","",FLOOR(INT(F54*'Price rules'!$B$8),'Price rules'!$B$9)+IF(MOD(INT(F54*'Price rules'!$B$8),'Price rules'!$B$9)&lt;'Price rules'!$B$10,0,'Price rules'!$B$9))</x:f>
        <x:v>54600</x:v>
      </x:c>
      <x:c r="J54" s="30" t="n">
        <x:f>IF(N54="conditional","",SUMIFS($F$5:$F$394,$A$5:$A$394,A54,$C$5:$C$394,C54,$D$5:$D$394,"&lt;="&amp;D54)+SUMIF(Towers!$A$5:$A$30,A54,Towers!$E$5:$E$30))</x:f>
        <x:v>50230</x:v>
      </x:c>
      <x:c r="K54" s="30"/>
      <x:c r="L54" s="25" t="str">
        <x:v>splash</x:v>
      </x:c>
      <x:c r="M54" s="25" t="str">
        <x:v>Upgrades the fire attack for stronger area damage.</x:v>
      </x:c>
      <x:c r="N54" s="25" t="str">
        <x:v>fixed_upgrade_price</x:v>
      </x:c>
      <x:c r="O54" s="30" t="n">
        <x:v>45500</x:v>
      </x:c>
      <x:c r="P54" s="25" t="str">
        <x:v>https://raw.githubusercontent.com/Btd6ModHelper/btd6-game-data/main/Towers/TackShooter/TackShooter-500.json</x:v>
      </x:c>
      <x:c r="Q54" s="25" t="str">
        <x:v>https://raw.githubusercontent.com/hemisemidemipresent/cyberquincy/master/jsons/costs.json</x:v>
      </x:c>
      <x:c r="R54" s="25" t="str">
        <x:v>https://raw.githubusercontent.com/Btd6ModHelper/btd6-game-data/main/textTable.json</x:v>
      </x:c>
      <x:c r="S54" s="25"/>
      <x:c r="T54" s="25"/>
    </x:row>
    <x:row r="55" ht="64" customHeight="1">
      <x:c r="A55" s="25" t="str">
        <x:v>Tack Shooter</x:v>
      </x:c>
      <x:c r="B55" s="80" t="str">
        <x:v>010</x:v>
      </x:c>
      <x:c r="C55" s="25" t="str">
        <x:v>middle</x:v>
      </x:c>
      <x:c r="D55" s="25" t="n">
        <x:v>1</x:v>
      </x:c>
      <x:c r="E55" s="25" t="str">
        <x:v>Long Range Tacks</x:v>
      </x:c>
      <x:c r="F55" s="30" t="n">
        <x:v>100</x:v>
      </x:c>
      <x:c r="G55" s="30" t="n">
        <x:f>IF(F55="","",FLOOR(INT(F55*'Price rules'!$B$5),'Price rules'!$B$9)+IF(MOD(INT(F55*'Price rules'!$B$5),'Price rules'!$B$9)&lt;'Price rules'!$B$10,0,'Price rules'!$B$9))</x:f>
        <x:v>85</x:v>
      </x:c>
      <x:c r="H55" s="30" t="n">
        <x:f>IF(F55="","",FLOOR(INT(F55*'Price rules'!$B$7),'Price rules'!$B$9)+IF(MOD(INT(F55*'Price rules'!$B$7),'Price rules'!$B$9)&lt;'Price rules'!$B$10,0,'Price rules'!$B$9))</x:f>
        <x:v>110</x:v>
      </x:c>
      <x:c r="I55" s="30" t="n">
        <x:f>IF(F55="","",FLOOR(INT(F55*'Price rules'!$B$8),'Price rules'!$B$9)+IF(MOD(INT(F55*'Price rules'!$B$8),'Price rules'!$B$9)&lt;'Price rules'!$B$10,0,'Price rules'!$B$9))</x:f>
        <x:v>120</x:v>
      </x:c>
      <x:c r="J55" s="30" t="n">
        <x:f>IF(N55="conditional","",SUMIFS($F$5:$F$394,$A$5:$A$394,A55,$C$5:$C$394,C55,$D$5:$D$394,"&lt;="&amp;D55)+SUMIF(Towers!$A$5:$A$30,A55,Towers!$E$5:$E$30))</x:f>
        <x:v>360</x:v>
      </x:c>
      <x:c r="K55" s="30"/>
      <x:c r="L55" s="25" t="str">
        <x:v>splash</x:v>
      </x:c>
      <x:c r="M55" s="25" t="str">
        <x:v>Increases attack range and tack travel distance.</x:v>
      </x:c>
      <x:c r="N55" s="25" t="str">
        <x:v>fixed_upgrade_price</x:v>
      </x:c>
      <x:c r="O55" s="30" t="n">
        <x:v>100</x:v>
      </x:c>
      <x:c r="P55" s="25" t="str">
        <x:v>https://raw.githubusercontent.com/Btd6ModHelper/btd6-game-data/main/Towers/TackShooter/TackShooter-010.json</x:v>
      </x:c>
      <x:c r="Q55" s="25" t="str">
        <x:v>https://raw.githubusercontent.com/hemisemidemipresent/cyberquincy/master/jsons/costs.json</x:v>
      </x:c>
      <x:c r="R55" s="25" t="str">
        <x:v>https://raw.githubusercontent.com/Btd6ModHelper/btd6-game-data/main/textTable.json</x:v>
      </x:c>
      <x:c r="S55" s="25"/>
      <x:c r="T55" s="25"/>
    </x:row>
    <x:row r="56" ht="64" customHeight="1">
      <x:c r="A56" s="25" t="str">
        <x:v>Tack Shooter</x:v>
      </x:c>
      <x:c r="B56" s="80" t="str">
        <x:v>020</x:v>
      </x:c>
      <x:c r="C56" s="25" t="str">
        <x:v>middle</x:v>
      </x:c>
      <x:c r="D56" s="25" t="n">
        <x:v>2</x:v>
      </x:c>
      <x:c r="E56" s="25" t="str">
        <x:v>Super Range Tacks</x:v>
      </x:c>
      <x:c r="F56" s="30" t="n">
        <x:v>225</x:v>
      </x:c>
      <x:c r="G56" s="30" t="n">
        <x:f>IF(F56="","",FLOOR(INT(F56*'Price rules'!$B$5),'Price rules'!$B$9)+IF(MOD(INT(F56*'Price rules'!$B$5),'Price rules'!$B$9)&lt;'Price rules'!$B$10,0,'Price rules'!$B$9))</x:f>
        <x:v>190</x:v>
      </x:c>
      <x:c r="H56" s="30" t="n">
        <x:f>IF(F56="","",FLOOR(INT(F56*'Price rules'!$B$7),'Price rules'!$B$9)+IF(MOD(INT(F56*'Price rules'!$B$7),'Price rules'!$B$9)&lt;'Price rules'!$B$10,0,'Price rules'!$B$9))</x:f>
        <x:v>245</x:v>
      </x:c>
      <x:c r="I56" s="30" t="n">
        <x:f>IF(F56="","",FLOOR(INT(F56*'Price rules'!$B$8),'Price rules'!$B$9)+IF(MOD(INT(F56*'Price rules'!$B$8),'Price rules'!$B$9)&lt;'Price rules'!$B$10,0,'Price rules'!$B$9))</x:f>
        <x:v>270</x:v>
      </x:c>
      <x:c r="J56" s="30" t="n">
        <x:f>IF(N56="conditional","",SUMIFS($F$5:$F$394,$A$5:$A$394,A56,$C$5:$C$394,C56,$D$5:$D$394,"&lt;="&amp;D56)+SUMIF(Towers!$A$5:$A$30,A56,Towers!$E$5:$E$30))</x:f>
        <x:v>585</x:v>
      </x:c>
      <x:c r="K56" s="30"/>
      <x:c r="L56" s="25" t="str">
        <x:v>splash</x:v>
      </x:c>
      <x:c r="M56" s="25" t="str">
        <x:v>Further increases range and pierce.</x:v>
      </x:c>
      <x:c r="N56" s="25" t="str">
        <x:v>fixed_upgrade_price</x:v>
      </x:c>
      <x:c r="O56" s="30" t="n">
        <x:v>225</x:v>
      </x:c>
      <x:c r="P56" s="25" t="str">
        <x:v>https://raw.githubusercontent.com/Btd6ModHelper/btd6-game-data/main/Towers/TackShooter/TackShooter-020.json</x:v>
      </x:c>
      <x:c r="Q56" s="25" t="str">
        <x:v>https://raw.githubusercontent.com/hemisemidemipresent/cyberquincy/master/jsons/costs.json</x:v>
      </x:c>
      <x:c r="R56" s="25" t="str">
        <x:v>https://raw.githubusercontent.com/Btd6ModHelper/btd6-game-data/main/textTable.json</x:v>
      </x:c>
      <x:c r="S56" s="25"/>
      <x:c r="T56" s="25"/>
    </x:row>
    <x:row r="57" ht="64" customHeight="1">
      <x:c r="A57" s="25" t="str">
        <x:v>Tack Shooter</x:v>
      </x:c>
      <x:c r="B57" s="80" t="str">
        <x:v>030</x:v>
      </x:c>
      <x:c r="C57" s="25" t="str">
        <x:v>middle</x:v>
      </x:c>
      <x:c r="D57" s="25" t="n">
        <x:v>3</x:v>
      </x:c>
      <x:c r="E57" s="25" t="str">
        <x:v>Blade Shooter</x:v>
      </x:c>
      <x:c r="F57" s="30" t="n">
        <x:v>550</x:v>
      </x:c>
      <x:c r="G57" s="30" t="n">
        <x:f>IF(F57="","",FLOOR(INT(F57*'Price rules'!$B$5),'Price rules'!$B$9)+IF(MOD(INT(F57*'Price rules'!$B$5),'Price rules'!$B$9)&lt;'Price rules'!$B$10,0,'Price rules'!$B$9))</x:f>
        <x:v>465</x:v>
      </x:c>
      <x:c r="H57" s="30" t="n">
        <x:f>IF(F57="","",FLOOR(INT(F57*'Price rules'!$B$7),'Price rules'!$B$9)+IF(MOD(INT(F57*'Price rules'!$B$7),'Price rules'!$B$9)&lt;'Price rules'!$B$10,0,'Price rules'!$B$9))</x:f>
        <x:v>595</x:v>
      </x:c>
      <x:c r="I57" s="30" t="n">
        <x:f>IF(F57="","",FLOOR(INT(F57*'Price rules'!$B$8),'Price rules'!$B$9)+IF(MOD(INT(F57*'Price rules'!$B$8),'Price rules'!$B$9)&lt;'Price rules'!$B$10,0,'Price rules'!$B$9))</x:f>
        <x:v>660</x:v>
      </x:c>
      <x:c r="J57" s="30" t="n">
        <x:f>IF(N57="conditional","",SUMIFS($F$5:$F$394,$A$5:$A$394,A57,$C$5:$C$394,C57,$D$5:$D$394,"&lt;="&amp;D57)+SUMIF(Towers!$A$5:$A$30,A57,Towers!$E$5:$E$30))</x:f>
        <x:v>1135</x:v>
      </x:c>
      <x:c r="K57" s="30"/>
      <x:c r="L57" s="25" t="str">
        <x:v>splash</x:v>
      </x:c>
      <x:c r="M57" s="25" t="str">
        <x:v>Uses high-pierce blades that can damage Frozen targets.</x:v>
      </x:c>
      <x:c r="N57" s="25" t="str">
        <x:v>fixed_upgrade_price</x:v>
      </x:c>
      <x:c r="O57" s="30" t="n">
        <x:v>550</x:v>
      </x:c>
      <x:c r="P57" s="25" t="str">
        <x:v>https://raw.githubusercontent.com/Btd6ModHelper/btd6-game-data/main/Towers/TackShooter/TackShooter-030.json</x:v>
      </x:c>
      <x:c r="Q57" s="25" t="str">
        <x:v>https://raw.githubusercontent.com/hemisemidemipresent/cyberquincy/master/jsons/costs.json</x:v>
      </x:c>
      <x:c r="R57" s="25" t="str">
        <x:v>https://raw.githubusercontent.com/Btd6ModHelper/btd6-game-data/main/textTable.json</x:v>
      </x:c>
      <x:c r="S57" s="25"/>
      <x:c r="T57" s="25"/>
    </x:row>
    <x:row r="58" ht="64" customHeight="1">
      <x:c r="A58" s="25" t="str">
        <x:v>Tack Shooter</x:v>
      </x:c>
      <x:c r="B58" s="80" t="str">
        <x:v>040</x:v>
      </x:c>
      <x:c r="C58" s="25" t="str">
        <x:v>middle</x:v>
      </x:c>
      <x:c r="D58" s="25" t="n">
        <x:v>4</x:v>
      </x:c>
      <x:c r="E58" s="25" t="str">
        <x:v>Blade Maelstrom</x:v>
      </x:c>
      <x:c r="F58" s="30" t="n">
        <x:v>2700</x:v>
      </x:c>
      <x:c r="G58" s="30" t="n">
        <x:f>IF(F58="","",FLOOR(INT(F58*'Price rules'!$B$5),'Price rules'!$B$9)+IF(MOD(INT(F58*'Price rules'!$B$5),'Price rules'!$B$9)&lt;'Price rules'!$B$10,0,'Price rules'!$B$9))</x:f>
        <x:v>2295</x:v>
      </x:c>
      <x:c r="H58" s="30" t="n">
        <x:f>IF(F58="","",FLOOR(INT(F58*'Price rules'!$B$7),'Price rules'!$B$9)+IF(MOD(INT(F58*'Price rules'!$B$7),'Price rules'!$B$9)&lt;'Price rules'!$B$10,0,'Price rules'!$B$9))</x:f>
        <x:v>2915</x:v>
      </x:c>
      <x:c r="I58" s="30" t="n">
        <x:f>IF(F58="","",FLOOR(INT(F58*'Price rules'!$B$8),'Price rules'!$B$9)+IF(MOD(INT(F58*'Price rules'!$B$8),'Price rules'!$B$9)&lt;'Price rules'!$B$10,0,'Price rules'!$B$9))</x:f>
        <x:v>3240</x:v>
      </x:c>
      <x:c r="J58" s="30" t="n">
        <x:f>IF(N58="conditional","",SUMIFS($F$5:$F$394,$A$5:$A$394,A58,$C$5:$C$394,C58,$D$5:$D$394,"&lt;="&amp;D58)+SUMIF(Towers!$A$5:$A$30,A58,Towers!$E$5:$E$30))</x:f>
        <x:v>3835</x:v>
      </x:c>
      <x:c r="K58" s="30"/>
      <x:c r="L58" s="25" t="str">
        <x:v>splash</x:v>
      </x:c>
      <x:c r="M58" s="25" t="str">
        <x:v>Adds an activated radial blade barrage.</x:v>
      </x:c>
      <x:c r="N58" s="25" t="str">
        <x:v>fixed_upgrade_price</x:v>
      </x:c>
      <x:c r="O58" s="30" t="n">
        <x:v>2700</x:v>
      </x:c>
      <x:c r="P58" s="25" t="str">
        <x:v>https://raw.githubusercontent.com/Btd6ModHelper/btd6-game-data/main/Towers/TackShooter/TackShooter-040.json</x:v>
      </x:c>
      <x:c r="Q58" s="25" t="str">
        <x:v>https://raw.githubusercontent.com/hemisemidemipresent/cyberquincy/master/jsons/costs.json</x:v>
      </x:c>
      <x:c r="R58" s="25" t="str">
        <x:v>https://raw.githubusercontent.com/Btd6ModHelper/btd6-game-data/main/textTable.json</x:v>
      </x:c>
      <x:c r="S58" s="25"/>
      <x:c r="T58" s="25"/>
    </x:row>
    <x:row r="59" ht="64" customHeight="1">
      <x:c r="A59" s="25" t="str">
        <x:v>Tack Shooter</x:v>
      </x:c>
      <x:c r="B59" s="80" t="str">
        <x:v>050</x:v>
      </x:c>
      <x:c r="C59" s="25" t="str">
        <x:v>middle</x:v>
      </x:c>
      <x:c r="D59" s="25" t="n">
        <x:v>5</x:v>
      </x:c>
      <x:c r="E59" s="25" t="str">
        <x:v>Super Maelstrom</x:v>
      </x:c>
      <x:c r="F59" s="30" t="n">
        <x:v>15000</x:v>
      </x:c>
      <x:c r="G59" s="30" t="n">
        <x:f>IF(F59="","",FLOOR(INT(F59*'Price rules'!$B$5),'Price rules'!$B$9)+IF(MOD(INT(F59*'Price rules'!$B$5),'Price rules'!$B$9)&lt;'Price rules'!$B$10,0,'Price rules'!$B$9))</x:f>
        <x:v>12750</x:v>
      </x:c>
      <x:c r="H59" s="30" t="n">
        <x:f>IF(F59="","",FLOOR(INT(F59*'Price rules'!$B$7),'Price rules'!$B$9)+IF(MOD(INT(F59*'Price rules'!$B$7),'Price rules'!$B$9)&lt;'Price rules'!$B$10,0,'Price rules'!$B$9))</x:f>
        <x:v>16200</x:v>
      </x:c>
      <x:c r="I59" s="30" t="n">
        <x:f>IF(F59="","",FLOOR(INT(F59*'Price rules'!$B$8),'Price rules'!$B$9)+IF(MOD(INT(F59*'Price rules'!$B$8),'Price rules'!$B$9)&lt;'Price rules'!$B$10,0,'Price rules'!$B$9))</x:f>
        <x:v>18000</x:v>
      </x:c>
      <x:c r="J59" s="30" t="n">
        <x:f>IF(N59="conditional","",SUMIFS($F$5:$F$394,$A$5:$A$394,A59,$C$5:$C$394,C59,$D$5:$D$394,"&lt;="&amp;D59)+SUMIF(Towers!$A$5:$A$30,A59,Towers!$E$5:$E$30))</x:f>
        <x:v>18835</x:v>
      </x:c>
      <x:c r="K59" s="30"/>
      <x:c r="L59" s="25" t="str">
        <x:v>splash</x:v>
      </x:c>
      <x:c r="M59" s="25" t="str">
        <x:v>Strengthens the blade barrage and extends its duration.</x:v>
      </x:c>
      <x:c r="N59" s="25" t="str">
        <x:v>fixed_upgrade_price</x:v>
      </x:c>
      <x:c r="O59" s="30" t="n">
        <x:v>15000</x:v>
      </x:c>
      <x:c r="P59" s="25" t="str">
        <x:v>https://raw.githubusercontent.com/Btd6ModHelper/btd6-game-data/main/Towers/TackShooter/TackShooter-050.json</x:v>
      </x:c>
      <x:c r="Q59" s="25" t="str">
        <x:v>https://raw.githubusercontent.com/hemisemidemipresent/cyberquincy/master/jsons/costs.json</x:v>
      </x:c>
      <x:c r="R59" s="25" t="str">
        <x:v>https://raw.githubusercontent.com/Btd6ModHelper/btd6-game-data/main/textTable.json</x:v>
      </x:c>
      <x:c r="S59" s="25"/>
      <x:c r="T59" s="25"/>
    </x:row>
    <x:row r="60" ht="64" customHeight="1">
      <x:c r="A60" s="25" t="str">
        <x:v>Tack Shooter</x:v>
      </x:c>
      <x:c r="B60" s="80" t="str">
        <x:v>001</x:v>
      </x:c>
      <x:c r="C60" s="25" t="str">
        <x:v>bottom</x:v>
      </x:c>
      <x:c r="D60" s="25" t="n">
        <x:v>1</x:v>
      </x:c>
      <x:c r="E60" s="25" t="str">
        <x:v>More Tacks</x:v>
      </x:c>
      <x:c r="F60" s="30" t="n">
        <x:v>150</x:v>
      </x:c>
      <x:c r="G60" s="30" t="n">
        <x:f>IF(F60="","",FLOOR(INT(F60*'Price rules'!$B$5),'Price rules'!$B$9)+IF(MOD(INT(F60*'Price rules'!$B$5),'Price rules'!$B$9)&lt;'Price rules'!$B$10,0,'Price rules'!$B$9))</x:f>
        <x:v>125</x:v>
      </x:c>
      <x:c r="H60" s="30" t="n">
        <x:f>IF(F60="","",FLOOR(INT(F60*'Price rules'!$B$7),'Price rules'!$B$9)+IF(MOD(INT(F60*'Price rules'!$B$7),'Price rules'!$B$9)&lt;'Price rules'!$B$10,0,'Price rules'!$B$9))</x:f>
        <x:v>160</x:v>
      </x:c>
      <x:c r="I60" s="30" t="n">
        <x:f>IF(F60="","",FLOOR(INT(F60*'Price rules'!$B$8),'Price rules'!$B$9)+IF(MOD(INT(F60*'Price rules'!$B$8),'Price rules'!$B$9)&lt;'Price rules'!$B$10,0,'Price rules'!$B$9))</x:f>
        <x:v>180</x:v>
      </x:c>
      <x:c r="J60" s="30" t="n">
        <x:f>IF(N60="conditional","",SUMIFS($F$5:$F$394,$A$5:$A$394,A60,$C$5:$C$394,C60,$D$5:$D$394,"&lt;="&amp;D60)+SUMIF(Towers!$A$5:$A$30,A60,Towers!$E$5:$E$30))</x:f>
        <x:v>410</x:v>
      </x:c>
      <x:c r="K60" s="30"/>
      <x:c r="L60" s="25" t="str">
        <x:v>splash</x:v>
      </x:c>
      <x:c r="M60" s="25" t="str">
        <x:v>Raises the volley to ten tacks; also improves Ring of Fire damage.</x:v>
      </x:c>
      <x:c r="N60" s="25" t="str">
        <x:v>fixed_upgrade_price</x:v>
      </x:c>
      <x:c r="O60" s="30" t="n">
        <x:v>150</x:v>
      </x:c>
      <x:c r="P60" s="25" t="str">
        <x:v>https://raw.githubusercontent.com/Btd6ModHelper/btd6-game-data/main/Towers/TackShooter/TackShooter-001.json</x:v>
      </x:c>
      <x:c r="Q60" s="25" t="str">
        <x:v>https://raw.githubusercontent.com/hemisemidemipresent/cyberquincy/master/jsons/costs.json</x:v>
      </x:c>
      <x:c r="R60" s="25" t="str">
        <x:v>https://raw.githubusercontent.com/Btd6ModHelper/btd6-game-data/main/textTable.json</x:v>
      </x:c>
      <x:c r="S60" s="25"/>
      <x:c r="T60" s="25"/>
    </x:row>
    <x:row r="61" ht="64" customHeight="1">
      <x:c r="A61" s="25" t="str">
        <x:v>Tack Shooter</x:v>
      </x:c>
      <x:c r="B61" s="80" t="str">
        <x:v>002</x:v>
      </x:c>
      <x:c r="C61" s="25" t="str">
        <x:v>bottom</x:v>
      </x:c>
      <x:c r="D61" s="25" t="n">
        <x:v>2</x:v>
      </x:c>
      <x:c r="E61" s="25" t="str">
        <x:v>Even More Tacks</x:v>
      </x:c>
      <x:c r="F61" s="30" t="n">
        <x:v>150</x:v>
      </x:c>
      <x:c r="G61" s="30" t="n">
        <x:f>IF(F61="","",FLOOR(INT(F61*'Price rules'!$B$5),'Price rules'!$B$9)+IF(MOD(INT(F61*'Price rules'!$B$5),'Price rules'!$B$9)&lt;'Price rules'!$B$10,0,'Price rules'!$B$9))</x:f>
        <x:v>125</x:v>
      </x:c>
      <x:c r="H61" s="30" t="n">
        <x:f>IF(F61="","",FLOOR(INT(F61*'Price rules'!$B$7),'Price rules'!$B$9)+IF(MOD(INT(F61*'Price rules'!$B$7),'Price rules'!$B$9)&lt;'Price rules'!$B$10,0,'Price rules'!$B$9))</x:f>
        <x:v>160</x:v>
      </x:c>
      <x:c r="I61" s="30" t="n">
        <x:f>IF(F61="","",FLOOR(INT(F61*'Price rules'!$B$8),'Price rules'!$B$9)+IF(MOD(INT(F61*'Price rules'!$B$8),'Price rules'!$B$9)&lt;'Price rules'!$B$10,0,'Price rules'!$B$9))</x:f>
        <x:v>180</x:v>
      </x:c>
      <x:c r="J61" s="30" t="n">
        <x:f>IF(N61="conditional","",SUMIFS($F$5:$F$394,$A$5:$A$394,A61,$C$5:$C$394,C61,$D$5:$D$394,"&lt;="&amp;D61)+SUMIF(Towers!$A$5:$A$30,A61,Towers!$E$5:$E$30))</x:f>
        <x:v>560</x:v>
      </x:c>
      <x:c r="K61" s="30"/>
      <x:c r="L61" s="25" t="str">
        <x:v>splash</x:v>
      </x:c>
      <x:c r="M61" s="25" t="str">
        <x:v>Raises the volley to twelve tacks and further improves Ring of Fire damage.</x:v>
      </x:c>
      <x:c r="N61" s="25" t="str">
        <x:v>fixed_upgrade_price</x:v>
      </x:c>
      <x:c r="O61" s="30" t="n">
        <x:v>150</x:v>
      </x:c>
      <x:c r="P61" s="25" t="str">
        <x:v>https://raw.githubusercontent.com/Btd6ModHelper/btd6-game-data/main/Towers/TackShooter/TackShooter-002.json</x:v>
      </x:c>
      <x:c r="Q61" s="25" t="str">
        <x:v>https://raw.githubusercontent.com/hemisemidemipresent/cyberquincy/master/jsons/costs.json</x:v>
      </x:c>
      <x:c r="R61" s="25" t="str">
        <x:v>https://raw.githubusercontent.com/Btd6ModHelper/btd6-game-data/main/textTable.json</x:v>
      </x:c>
      <x:c r="S61" s="25"/>
      <x:c r="T61" s="25"/>
    </x:row>
    <x:row r="62" ht="64" customHeight="1">
      <x:c r="A62" s="25" t="str">
        <x:v>Tack Shooter</x:v>
      </x:c>
      <x:c r="B62" s="80" t="str">
        <x:v>003</x:v>
      </x:c>
      <x:c r="C62" s="25" t="str">
        <x:v>bottom</x:v>
      </x:c>
      <x:c r="D62" s="25" t="n">
        <x:v>3</x:v>
      </x:c>
      <x:c r="E62" s="25" t="str">
        <x:v>Tack Sprayer</x:v>
      </x:c>
      <x:c r="F62" s="30" t="n">
        <x:v>450</x:v>
      </x:c>
      <x:c r="G62" s="30" t="n">
        <x:f>IF(F62="","",FLOOR(INT(F62*'Price rules'!$B$5),'Price rules'!$B$9)+IF(MOD(INT(F62*'Price rules'!$B$5),'Price rules'!$B$9)&lt;'Price rules'!$B$10,0,'Price rules'!$B$9))</x:f>
        <x:v>380</x:v>
      </x:c>
      <x:c r="H62" s="30" t="n">
        <x:f>IF(F62="","",FLOOR(INT(F62*'Price rules'!$B$7),'Price rules'!$B$9)+IF(MOD(INT(F62*'Price rules'!$B$7),'Price rules'!$B$9)&lt;'Price rules'!$B$10,0,'Price rules'!$B$9))</x:f>
        <x:v>485</x:v>
      </x:c>
      <x:c r="I62" s="30" t="n">
        <x:f>IF(F62="","",FLOOR(INT(F62*'Price rules'!$B$8),'Price rules'!$B$9)+IF(MOD(INT(F62*'Price rules'!$B$8),'Price rules'!$B$9)&lt;'Price rules'!$B$10,0,'Price rules'!$B$9))</x:f>
        <x:v>540</x:v>
      </x:c>
      <x:c r="J62" s="30" t="n">
        <x:f>IF(N62="conditional","",SUMIFS($F$5:$F$394,$A$5:$A$394,A62,$C$5:$C$394,C62,$D$5:$D$394,"&lt;="&amp;D62)+SUMIF(Towers!$A$5:$A$30,A62,Towers!$E$5:$E$30))</x:f>
        <x:v>1010</x:v>
      </x:c>
      <x:c r="K62" s="30"/>
      <x:c r="L62" s="25" t="str">
        <x:v>rapid_fire</x:v>
      </x:c>
      <x:c r="M62" s="25" t="str">
        <x:v>Fires sixteen higher-pierce tacks per volley.</x:v>
      </x:c>
      <x:c r="N62" s="25" t="str">
        <x:v>fixed_upgrade_price</x:v>
      </x:c>
      <x:c r="O62" s="30" t="n">
        <x:v>450</x:v>
      </x:c>
      <x:c r="P62" s="25" t="str">
        <x:v>https://raw.githubusercontent.com/Btd6ModHelper/btd6-game-data/main/Towers/TackShooter/TackShooter-003.json</x:v>
      </x:c>
      <x:c r="Q62" s="25" t="str">
        <x:v>https://raw.githubusercontent.com/hemisemidemipresent/cyberquincy/master/jsons/costs.json</x:v>
      </x:c>
      <x:c r="R62" s="25" t="str">
        <x:v>https://raw.githubusercontent.com/Btd6ModHelper/btd6-game-data/main/textTable.json</x:v>
      </x:c>
      <x:c r="S62" s="25"/>
      <x:c r="T62" s="25"/>
    </x:row>
    <x:row r="63" ht="64" customHeight="1">
      <x:c r="A63" s="25" t="str">
        <x:v>Tack Shooter</x:v>
      </x:c>
      <x:c r="B63" s="80" t="str">
        <x:v>004</x:v>
      </x:c>
      <x:c r="C63" s="25" t="str">
        <x:v>bottom</x:v>
      </x:c>
      <x:c r="D63" s="25" t="n">
        <x:v>4</x:v>
      </x:c>
      <x:c r="E63" s="25" t="str">
        <x:v>Overdrive</x:v>
      </x:c>
      <x:c r="F63" s="30" t="n">
        <x:v>3200</x:v>
      </x:c>
      <x:c r="G63" s="30" t="n">
        <x:f>IF(F63="","",FLOOR(INT(F63*'Price rules'!$B$5),'Price rules'!$B$9)+IF(MOD(INT(F63*'Price rules'!$B$5),'Price rules'!$B$9)&lt;'Price rules'!$B$10,0,'Price rules'!$B$9))</x:f>
        <x:v>2720</x:v>
      </x:c>
      <x:c r="H63" s="30" t="n">
        <x:f>IF(F63="","",FLOOR(INT(F63*'Price rules'!$B$7),'Price rules'!$B$9)+IF(MOD(INT(F63*'Price rules'!$B$7),'Price rules'!$B$9)&lt;'Price rules'!$B$10,0,'Price rules'!$B$9))</x:f>
        <x:v>3455</x:v>
      </x:c>
      <x:c r="I63" s="30" t="n">
        <x:f>IF(F63="","",FLOOR(INT(F63*'Price rules'!$B$8),'Price rules'!$B$9)+IF(MOD(INT(F63*'Price rules'!$B$8),'Price rules'!$B$9)&lt;'Price rules'!$B$10,0,'Price rules'!$B$9))</x:f>
        <x:v>3840</x:v>
      </x:c>
      <x:c r="J63" s="30" t="n">
        <x:f>IF(N63="conditional","",SUMIFS($F$5:$F$394,$A$5:$A$394,A63,$C$5:$C$394,C63,$D$5:$D$394,"&lt;="&amp;D63)+SUMIF(Towers!$A$5:$A$30,A63,Towers!$E$5:$E$30))</x:f>
        <x:v>4210</x:v>
      </x:c>
      <x:c r="K63" s="30"/>
      <x:c r="L63" s="25" t="str">
        <x:v>rapid_fire</x:v>
      </x:c>
      <x:c r="M63" s="25" t="str">
        <x:v>Greatly increases tack firing speed.</x:v>
      </x:c>
      <x:c r="N63" s="25" t="str">
        <x:v>fixed_upgrade_price</x:v>
      </x:c>
      <x:c r="O63" s="30" t="n">
        <x:v>3200</x:v>
      </x:c>
      <x:c r="P63" s="25" t="str">
        <x:v>https://raw.githubusercontent.com/Btd6ModHelper/btd6-game-data/main/Towers/TackShooter/TackShooter-004.json</x:v>
      </x:c>
      <x:c r="Q63" s="25" t="str">
        <x:v>https://raw.githubusercontent.com/hemisemidemipresent/cyberquincy/master/jsons/costs.json</x:v>
      </x:c>
      <x:c r="R63" s="25" t="str">
        <x:v>https://raw.githubusercontent.com/Btd6ModHelper/btd6-game-data/main/textTable.json</x:v>
      </x:c>
      <x:c r="S63" s="25"/>
      <x:c r="T63" s="25"/>
    </x:row>
    <x:row r="64" ht="64" customHeight="1">
      <x:c r="A64" s="25" t="str">
        <x:v>Tack Shooter</x:v>
      </x:c>
      <x:c r="B64" s="80" t="str">
        <x:v>005</x:v>
      </x:c>
      <x:c r="C64" s="25" t="str">
        <x:v>bottom</x:v>
      </x:c>
      <x:c r="D64" s="25" t="n">
        <x:v>5</x:v>
      </x:c>
      <x:c r="E64" s="25" t="str">
        <x:v>The Tack Zone</x:v>
      </x:c>
      <x:c r="F64" s="30" t="n">
        <x:v>20000</x:v>
      </x:c>
      <x:c r="G64" s="30" t="n">
        <x:f>IF(F64="","",FLOOR(INT(F64*'Price rules'!$B$5),'Price rules'!$B$9)+IF(MOD(INT(F64*'Price rules'!$B$5),'Price rules'!$B$9)&lt;'Price rules'!$B$10,0,'Price rules'!$B$9))</x:f>
        <x:v>17000</x:v>
      </x:c>
      <x:c r="H64" s="30" t="n">
        <x:f>IF(F64="","",FLOOR(INT(F64*'Price rules'!$B$7),'Price rules'!$B$9)+IF(MOD(INT(F64*'Price rules'!$B$7),'Price rules'!$B$9)&lt;'Price rules'!$B$10,0,'Price rules'!$B$9))</x:f>
        <x:v>21600</x:v>
      </x:c>
      <x:c r="I64" s="30" t="n">
        <x:f>IF(F64="","",FLOOR(INT(F64*'Price rules'!$B$8),'Price rules'!$B$9)+IF(MOD(INT(F64*'Price rules'!$B$8),'Price rules'!$B$9)&lt;'Price rules'!$B$10,0,'Price rules'!$B$9))</x:f>
        <x:v>24000</x:v>
      </x:c>
      <x:c r="J64" s="30" t="n">
        <x:f>IF(N64="conditional","",SUMIFS($F$5:$F$394,$A$5:$A$394,A64,$C$5:$C$394,C64,$D$5:$D$394,"&lt;="&amp;D64)+SUMIF(Towers!$A$5:$A$30,A64,Towers!$E$5:$E$30))</x:f>
        <x:v>24210</x:v>
      </x:c>
      <x:c r="K64" s="30"/>
      <x:c r="L64" s="25" t="str">
        <x:v>rapid_fire</x:v>
      </x:c>
      <x:c r="M64" s="25" t="str">
        <x:v>Produces much denser tack volleys.</x:v>
      </x:c>
      <x:c r="N64" s="25" t="str">
        <x:v>fixed_upgrade_price</x:v>
      </x:c>
      <x:c r="O64" s="30" t="n">
        <x:v>20000</x:v>
      </x:c>
      <x:c r="P64" s="25" t="str">
        <x:v>https://raw.githubusercontent.com/Btd6ModHelper/btd6-game-data/main/Towers/TackShooter/TackShooter-005.json</x:v>
      </x:c>
      <x:c r="Q64" s="25" t="str">
        <x:v>https://raw.githubusercontent.com/hemisemidemipresent/cyberquincy/master/jsons/costs.json</x:v>
      </x:c>
      <x:c r="R64" s="25" t="str">
        <x:v>https://raw.githubusercontent.com/Btd6ModHelper/btd6-game-data/main/textTable.json</x:v>
      </x:c>
      <x:c r="S64" s="25"/>
      <x:c r="T64" s="25"/>
    </x:row>
    <x:row r="65" ht="64" customHeight="1">
      <x:c r="A65" s="25" t="str">
        <x:v>Ice Monkey</x:v>
      </x:c>
      <x:c r="B65" s="80" t="str">
        <x:v>100</x:v>
      </x:c>
      <x:c r="C65" s="25" t="str">
        <x:v>top</x:v>
      </x:c>
      <x:c r="D65" s="25" t="n">
        <x:v>1</x:v>
      </x:c>
      <x:c r="E65" s="25" t="str">
        <x:v>Permafrost</x:v>
      </x:c>
      <x:c r="F65" s="30" t="n">
        <x:v>150</x:v>
      </x:c>
      <x:c r="G65" s="30" t="n">
        <x:f>IF(F65="","",FLOOR(INT(F65*'Price rules'!$B$5),'Price rules'!$B$9)+IF(MOD(INT(F65*'Price rules'!$B$5),'Price rules'!$B$9)&lt;'Price rules'!$B$10,0,'Price rules'!$B$9))</x:f>
        <x:v>125</x:v>
      </x:c>
      <x:c r="H65" s="30" t="n">
        <x:f>IF(F65="","",FLOOR(INT(F65*'Price rules'!$B$7),'Price rules'!$B$9)+IF(MOD(INT(F65*'Price rules'!$B$7),'Price rules'!$B$9)&lt;'Price rules'!$B$10,0,'Price rules'!$B$9))</x:f>
        <x:v>160</x:v>
      </x:c>
      <x:c r="I65" s="30" t="n">
        <x:f>IF(F65="","",FLOOR(INT(F65*'Price rules'!$B$8),'Price rules'!$B$9)+IF(MOD(INT(F65*'Price rules'!$B$8),'Price rules'!$B$9)&lt;'Price rules'!$B$10,0,'Price rules'!$B$9))</x:f>
        <x:v>180</x:v>
      </x:c>
      <x:c r="J65" s="30" t="n">
        <x:f>IF(N65="conditional","",SUMIFS($F$5:$F$394,$A$5:$A$394,A65,$C$5:$C$394,C65,$D$5:$D$394,"&lt;="&amp;D65)+SUMIF(Towers!$A$5:$A$30,A65,Towers!$E$5:$E$30))</x:f>
        <x:v>550</x:v>
      </x:c>
      <x:c r="K65" s="30" t="n">
        <x:v>160</x:v>
      </x:c>
      <x:c r="L65" s="25" t="str">
        <x:v>status</x:v>
      </x:c>
      <x:c r="M65" s="25" t="str">
        <x:v>Leaves targets slowed after their freeze ends.</x:v>
      </x:c>
      <x:c r="N65" s="25" t="str">
        <x:v>fixed_upgrade_price</x:v>
      </x:c>
      <x:c r="O65" s="30" t="n">
        <x:v>150</x:v>
      </x:c>
      <x:c r="P65" s="25" t="str">
        <x:v>https://raw.githubusercontent.com/Btd6ModHelper/btd6-game-data/main/Towers/IceMonkey/IceMonkey-100.json</x:v>
      </x:c>
      <x:c r="Q65" s="25" t="str">
        <x:v>https://raw.githubusercontent.com/hemisemidemipresent/cyberquincy/master/jsons/costs.json</x:v>
      </x:c>
      <x:c r="R65" s="25" t="str">
        <x:v>https://raw.githubusercontent.com/Btd6ModHelper/btd6-game-data/main/textTable.json</x:v>
      </x:c>
      <x:c r="S65" s="25" t="str">
        <x:v>https://www.bloonswiki.com/Ice_Monkey_(BTD6)</x:v>
      </x:c>
      <x:c r="T65" s="25" t="str">
        <x:v>46.2</x:v>
      </x:c>
    </x:row>
    <x:row r="66" ht="64" customHeight="1">
      <x:c r="A66" s="25" t="str">
        <x:v>Ice Monkey</x:v>
      </x:c>
      <x:c r="B66" s="80" t="str">
        <x:v>200</x:v>
      </x:c>
      <x:c r="C66" s="25" t="str">
        <x:v>top</x:v>
      </x:c>
      <x:c r="D66" s="25" t="n">
        <x:v>2</x:v>
      </x:c>
      <x:c r="E66" s="25" t="str">
        <x:v>Cold Snap</x:v>
      </x:c>
      <x:c r="F66" s="30" t="n">
        <x:v>350</x:v>
      </x:c>
      <x:c r="G66" s="30" t="n">
        <x:f>IF(F66="","",FLOOR(INT(F66*'Price rules'!$B$5),'Price rules'!$B$9)+IF(MOD(INT(F66*'Price rules'!$B$5),'Price rules'!$B$9)&lt;'Price rules'!$B$10,0,'Price rules'!$B$9))</x:f>
        <x:v>295</x:v>
      </x:c>
      <x:c r="H66" s="30" t="n">
        <x:f>IF(F66="","",FLOOR(INT(F66*'Price rules'!$B$7),'Price rules'!$B$9)+IF(MOD(INT(F66*'Price rules'!$B$7),'Price rules'!$B$9)&lt;'Price rules'!$B$10,0,'Price rules'!$B$9))</x:f>
        <x:v>380</x:v>
      </x:c>
      <x:c r="I66" s="30" t="n">
        <x:f>IF(F66="","",FLOOR(INT(F66*'Price rules'!$B$8),'Price rules'!$B$9)+IF(MOD(INT(F66*'Price rules'!$B$8),'Price rules'!$B$9)&lt;'Price rules'!$B$10,0,'Price rules'!$B$9))</x:f>
        <x:v>420</x:v>
      </x:c>
      <x:c r="J66" s="30" t="n">
        <x:f>IF(N66="conditional","",SUMIFS($F$5:$F$394,$A$5:$A$394,A66,$C$5:$C$394,C66,$D$5:$D$394,"&lt;="&amp;D66)+SUMIF(Towers!$A$5:$A$30,A66,Towers!$E$5:$E$30))</x:f>
        <x:v>900</x:v>
      </x:c>
      <x:c r="K66" s="30" t="n">
        <x:v>500</x:v>
      </x:c>
      <x:c r="L66" s="25" t="str">
        <x:v>status</x:v>
      </x:c>
      <x:c r="M66" s="25" t="str">
        <x:v>Allows freezing and damaging Lead and Camo targets.</x:v>
      </x:c>
      <x:c r="N66" s="25" t="str">
        <x:v>fixed_upgrade_price</x:v>
      </x:c>
      <x:c r="O66" s="30" t="n">
        <x:v>350</x:v>
      </x:c>
      <x:c r="P66" s="25" t="str">
        <x:v>https://raw.githubusercontent.com/Btd6ModHelper/btd6-game-data/main/Towers/IceMonkey/IceMonkey-200.json</x:v>
      </x:c>
      <x:c r="Q66" s="25" t="str">
        <x:v>https://raw.githubusercontent.com/hemisemidemipresent/cyberquincy/master/jsons/costs.json</x:v>
      </x:c>
      <x:c r="R66" s="25" t="str">
        <x:v>https://raw.githubusercontent.com/Btd6ModHelper/btd6-game-data/main/textTable.json</x:v>
      </x:c>
      <x:c r="S66" s="25" t="str">
        <x:v>https://www.bloonswiki.com/Ice_Monkey_(BTD6)</x:v>
      </x:c>
      <x:c r="T66" s="25" t="str">
        <x:v>46.2</x:v>
      </x:c>
    </x:row>
    <x:row r="67" ht="64" customHeight="1">
      <x:c r="A67" s="25" t="str">
        <x:v>Ice Monkey</x:v>
      </x:c>
      <x:c r="B67" s="80" t="str">
        <x:v>300</x:v>
      </x:c>
      <x:c r="C67" s="25" t="str">
        <x:v>top</x:v>
      </x:c>
      <x:c r="D67" s="25" t="n">
        <x:v>3</x:v>
      </x:c>
      <x:c r="E67" s="25" t="str">
        <x:v>Ice Shards</x:v>
      </x:c>
      <x:c r="F67" s="30" t="n">
        <x:v>1500</x:v>
      </x:c>
      <x:c r="G67" s="30" t="n">
        <x:f>IF(F67="","",FLOOR(INT(F67*'Price rules'!$B$5),'Price rules'!$B$9)+IF(MOD(INT(F67*'Price rules'!$B$5),'Price rules'!$B$9)&lt;'Price rules'!$B$10,0,'Price rules'!$B$9))</x:f>
        <x:v>1275</x:v>
      </x:c>
      <x:c r="H67" s="30" t="n">
        <x:f>IF(F67="","",FLOOR(INT(F67*'Price rules'!$B$7),'Price rules'!$B$9)+IF(MOD(INT(F67*'Price rules'!$B$7),'Price rules'!$B$9)&lt;'Price rules'!$B$10,0,'Price rules'!$B$9))</x:f>
        <x:v>1620</x:v>
      </x:c>
      <x:c r="I67" s="30" t="n">
        <x:f>IF(F67="","",FLOOR(INT(F67*'Price rules'!$B$8),'Price rules'!$B$9)+IF(MOD(INT(F67*'Price rules'!$B$8),'Price rules'!$B$9)&lt;'Price rules'!$B$10,0,'Price rules'!$B$9))</x:f>
        <x:v>1800</x:v>
      </x:c>
      <x:c r="J67" s="30" t="n">
        <x:f>IF(N67="conditional","",SUMIFS($F$5:$F$394,$A$5:$A$394,A67,$C$5:$C$394,C67,$D$5:$D$394,"&lt;="&amp;D67)+SUMIF(Towers!$A$5:$A$30,A67,Towers!$E$5:$E$30))</x:f>
        <x:v>2400</x:v>
      </x:c>
      <x:c r="K67" s="30" t="n">
        <x:v>2500</x:v>
      </x:c>
      <x:c r="L67" s="25" t="str">
        <x:v>status</x:v>
      </x:c>
      <x:c r="M67" s="25" t="str">
        <x:v>Removes Camo and Regrow; destroyed frozen targets release damaging shards.</x:v>
      </x:c>
      <x:c r="N67" s="25" t="str">
        <x:v>fixed_upgrade_price</x:v>
      </x:c>
      <x:c r="O67" s="30" t="n">
        <x:v>1500</x:v>
      </x:c>
      <x:c r="P67" s="25" t="str">
        <x:v>https://raw.githubusercontent.com/Btd6ModHelper/btd6-game-data/main/Towers/IceMonkey/IceMonkey-300.json</x:v>
      </x:c>
      <x:c r="Q67" s="25" t="str">
        <x:v>https://raw.githubusercontent.com/hemisemidemipresent/cyberquincy/master/jsons/costs.json</x:v>
      </x:c>
      <x:c r="R67" s="25" t="str">
        <x:v>https://raw.githubusercontent.com/Btd6ModHelper/btd6-game-data/main/textTable.json</x:v>
      </x:c>
      <x:c r="S67" s="25" t="str">
        <x:v>https://www.bloonswiki.com/Ice_Monkey_(BTD6)</x:v>
      </x:c>
      <x:c r="T67" s="25" t="str">
        <x:v>46.2</x:v>
      </x:c>
    </x:row>
    <x:row r="68" ht="64" customHeight="1">
      <x:c r="A68" s="25" t="str">
        <x:v>Ice Monkey</x:v>
      </x:c>
      <x:c r="B68" s="80" t="str">
        <x:v>400</x:v>
      </x:c>
      <x:c r="C68" s="25" t="str">
        <x:v>top</x:v>
      </x:c>
      <x:c r="D68" s="25" t="n">
        <x:v>4</x:v>
      </x:c>
      <x:c r="E68" s="25" t="str">
        <x:v>Embrittlement</x:v>
      </x:c>
      <x:c r="F68" s="30" t="n">
        <x:v>2300</x:v>
      </x:c>
      <x:c r="G68" s="30" t="n">
        <x:f>IF(F68="","",FLOOR(INT(F68*'Price rules'!$B$5),'Price rules'!$B$9)+IF(MOD(INT(F68*'Price rules'!$B$5),'Price rules'!$B$9)&lt;'Price rules'!$B$10,0,'Price rules'!$B$9))</x:f>
        <x:v>1955</x:v>
      </x:c>
      <x:c r="H68" s="30" t="n">
        <x:f>IF(F68="","",FLOOR(INT(F68*'Price rules'!$B$7),'Price rules'!$B$9)+IF(MOD(INT(F68*'Price rules'!$B$7),'Price rules'!$B$9)&lt;'Price rules'!$B$10,0,'Price rules'!$B$9))</x:f>
        <x:v>2485</x:v>
      </x:c>
      <x:c r="I68" s="30" t="n">
        <x:f>IF(F68="","",FLOOR(INT(F68*'Price rules'!$B$8),'Price rules'!$B$9)+IF(MOD(INT(F68*'Price rules'!$B$8),'Price rules'!$B$9)&lt;'Price rules'!$B$10,0,'Price rules'!$B$9))</x:f>
        <x:v>2760</x:v>
      </x:c>
      <x:c r="J68" s="30" t="n">
        <x:f>IF(N68="conditional","",SUMIFS($F$5:$F$394,$A$5:$A$394,A68,$C$5:$C$394,C68,$D$5:$D$394,"&lt;="&amp;D68)+SUMIF(Towers!$A$5:$A$30,A68,Towers!$E$5:$E$30))</x:f>
        <x:v>4700</x:v>
      </x:c>
      <x:c r="K68" s="30" t="n">
        <x:v>8250</x:v>
      </x:c>
      <x:c r="L68" s="25" t="str">
        <x:v>status</x:v>
      </x:c>
      <x:c r="M68" s="25" t="str">
        <x:v>Makes affected targets take extra damage and temporarily removes Lead immunity; can affect MOABs.</x:v>
      </x:c>
      <x:c r="N68" s="25" t="str">
        <x:v>fixed_upgrade_price</x:v>
      </x:c>
      <x:c r="O68" s="30" t="n">
        <x:v>2300</x:v>
      </x:c>
      <x:c r="P68" s="25" t="str">
        <x:v>https://raw.githubusercontent.com/Btd6ModHelper/btd6-game-data/main/Towers/IceMonkey/IceMonkey-400.json</x:v>
      </x:c>
      <x:c r="Q68" s="25" t="str">
        <x:v>https://raw.githubusercontent.com/hemisemidemipresent/cyberquincy/master/jsons/costs.json</x:v>
      </x:c>
      <x:c r="R68" s="25" t="str">
        <x:v>https://raw.githubusercontent.com/Btd6ModHelper/btd6-game-data/main/textTable.json</x:v>
      </x:c>
      <x:c r="S68" s="25" t="str">
        <x:v>https://www.bloonswiki.com/Ice_Monkey_(BTD6)</x:v>
      </x:c>
      <x:c r="T68" s="25" t="str">
        <x:v>46.2</x:v>
      </x:c>
    </x:row>
    <x:row r="69" ht="64" customHeight="1">
      <x:c r="A69" s="25" t="str">
        <x:v>Ice Monkey</x:v>
      </x:c>
      <x:c r="B69" s="80" t="str">
        <x:v>500</x:v>
      </x:c>
      <x:c r="C69" s="25" t="str">
        <x:v>top</x:v>
      </x:c>
      <x:c r="D69" s="25" t="n">
        <x:v>5</x:v>
      </x:c>
      <x:c r="E69" s="25" t="str">
        <x:v>Super Brittle</x:v>
      </x:c>
      <x:c r="F69" s="30" t="n">
        <x:v>28000</x:v>
      </x:c>
      <x:c r="G69" s="30" t="n">
        <x:f>IF(F69="","",FLOOR(INT(F69*'Price rules'!$B$5),'Price rules'!$B$9)+IF(MOD(INT(F69*'Price rules'!$B$5),'Price rules'!$B$9)&lt;'Price rules'!$B$10,0,'Price rules'!$B$9))</x:f>
        <x:v>23800</x:v>
      </x:c>
      <x:c r="H69" s="30" t="n">
        <x:f>IF(F69="","",FLOOR(INT(F69*'Price rules'!$B$7),'Price rules'!$B$9)+IF(MOD(INT(F69*'Price rules'!$B$7),'Price rules'!$B$9)&lt;'Price rules'!$B$10,0,'Price rules'!$B$9))</x:f>
        <x:v>30240</x:v>
      </x:c>
      <x:c r="I69" s="30" t="n">
        <x:f>IF(F69="","",FLOOR(INT(F69*'Price rules'!$B$8),'Price rules'!$B$9)+IF(MOD(INT(F69*'Price rules'!$B$8),'Price rules'!$B$9)&lt;'Price rules'!$B$10,0,'Price rules'!$B$9))</x:f>
        <x:v>33600</x:v>
      </x:c>
      <x:c r="J69" s="30" t="n">
        <x:f>IF(N69="conditional","",SUMIFS($F$5:$F$394,$A$5:$A$394,A69,$C$5:$C$394,C69,$D$5:$D$394,"&lt;="&amp;D69)+SUMIF(Towers!$A$5:$A$30,A69,Towers!$E$5:$E$30))</x:f>
        <x:v>32700</x:v>
      </x:c>
      <x:c r="K69" s="30" t="n">
        <x:v>25000</x:v>
      </x:c>
      <x:c r="L69" s="25" t="str">
        <x:v>status</x:v>
      </x:c>
      <x:c r="M69" s="25" t="str">
        <x:v>Strengthens damage vulnerability and the Ceramic-damaging shards.</x:v>
      </x:c>
      <x:c r="N69" s="25" t="str">
        <x:v>fixed_upgrade_price</x:v>
      </x:c>
      <x:c r="O69" s="30" t="n">
        <x:v>28000</x:v>
      </x:c>
      <x:c r="P69" s="25" t="str">
        <x:v>https://raw.githubusercontent.com/Btd6ModHelper/btd6-game-data/main/Towers/IceMonkey/IceMonkey-500.json</x:v>
      </x:c>
      <x:c r="Q69" s="25" t="str">
        <x:v>https://raw.githubusercontent.com/hemisemidemipresent/cyberquincy/master/jsons/costs.json</x:v>
      </x:c>
      <x:c r="R69" s="25" t="str">
        <x:v>https://raw.githubusercontent.com/Btd6ModHelper/btd6-game-data/main/textTable.json</x:v>
      </x:c>
      <x:c r="S69" s="25" t="str">
        <x:v>https://www.bloonswiki.com/Ice_Monkey_(BTD6)</x:v>
      </x:c>
      <x:c r="T69" s="25" t="str">
        <x:v>46.2</x:v>
      </x:c>
    </x:row>
    <x:row r="70" ht="64" customHeight="1">
      <x:c r="A70" s="25" t="str">
        <x:v>Ice Monkey</x:v>
      </x:c>
      <x:c r="B70" s="80" t="str">
        <x:v>010</x:v>
      </x:c>
      <x:c r="C70" s="25" t="str">
        <x:v>middle</x:v>
      </x:c>
      <x:c r="D70" s="25" t="n">
        <x:v>1</x:v>
      </x:c>
      <x:c r="E70" s="25" t="str">
        <x:v>Enhanced Freeze</x:v>
      </x:c>
      <x:c r="F70" s="30" t="n">
        <x:v>200</x:v>
      </x:c>
      <x:c r="G70" s="30" t="n">
        <x:f>IF(F70="","",FLOOR(INT(F70*'Price rules'!$B$5),'Price rules'!$B$9)+IF(MOD(INT(F70*'Price rules'!$B$5),'Price rules'!$B$9)&lt;'Price rules'!$B$10,0,'Price rules'!$B$9))</x:f>
        <x:v>170</x:v>
      </x:c>
      <x:c r="H70" s="30" t="n">
        <x:f>IF(F70="","",FLOOR(INT(F70*'Price rules'!$B$7),'Price rules'!$B$9)+IF(MOD(INT(F70*'Price rules'!$B$7),'Price rules'!$B$9)&lt;'Price rules'!$B$10,0,'Price rules'!$B$9))</x:f>
        <x:v>215</x:v>
      </x:c>
      <x:c r="I70" s="30" t="n">
        <x:f>IF(F70="","",FLOOR(INT(F70*'Price rules'!$B$8),'Price rules'!$B$9)+IF(MOD(INT(F70*'Price rules'!$B$8),'Price rules'!$B$9)&lt;'Price rules'!$B$10,0,'Price rules'!$B$9))</x:f>
        <x:v>240</x:v>
      </x:c>
      <x:c r="J70" s="30" t="n">
        <x:f>IF(N70="conditional","",SUMIFS($F$5:$F$394,$A$5:$A$394,A70,$C$5:$C$394,C70,$D$5:$D$394,"&lt;="&amp;D70)+SUMIF(Towers!$A$5:$A$30,A70,Towers!$E$5:$E$30))</x:f>
        <x:v>600</x:v>
      </x:c>
      <x:c r="K70" s="30" t="n">
        <x:v>160</x:v>
      </x:c>
      <x:c r="L70" s="25" t="str">
        <x:v>status</x:v>
      </x:c>
      <x:c r="M70" s="25" t="str">
        <x:v>Increases attack speed and freeze duration.</x:v>
      </x:c>
      <x:c r="N70" s="25" t="str">
        <x:v>fixed_upgrade_price</x:v>
      </x:c>
      <x:c r="O70" s="30" t="n">
        <x:v>200</x:v>
      </x:c>
      <x:c r="P70" s="25" t="str">
        <x:v>https://raw.githubusercontent.com/Btd6ModHelper/btd6-game-data/main/Towers/IceMonkey/IceMonkey-010.json</x:v>
      </x:c>
      <x:c r="Q70" s="25" t="str">
        <x:v>https://raw.githubusercontent.com/hemisemidemipresent/cyberquincy/master/jsons/costs.json</x:v>
      </x:c>
      <x:c r="R70" s="25" t="str">
        <x:v>https://raw.githubusercontent.com/Btd6ModHelper/btd6-game-data/main/textTable.json</x:v>
      </x:c>
      <x:c r="S70" s="25" t="str">
        <x:v>https://www.bloonswiki.com/Ice_Monkey_(BTD6)</x:v>
      </x:c>
      <x:c r="T70" s="25" t="str">
        <x:v>46.2</x:v>
      </x:c>
    </x:row>
    <x:row r="71" ht="64" customHeight="1">
      <x:c r="A71" s="25" t="str">
        <x:v>Ice Monkey</x:v>
      </x:c>
      <x:c r="B71" s="80" t="str">
        <x:v>020</x:v>
      </x:c>
      <x:c r="C71" s="25" t="str">
        <x:v>middle</x:v>
      </x:c>
      <x:c r="D71" s="25" t="n">
        <x:v>2</x:v>
      </x:c>
      <x:c r="E71" s="25" t="str">
        <x:v>Deep Freeze</x:v>
      </x:c>
      <x:c r="F71" s="30" t="n">
        <x:v>300</x:v>
      </x:c>
      <x:c r="G71" s="30" t="n">
        <x:f>IF(F71="","",FLOOR(INT(F71*'Price rules'!$B$5),'Price rules'!$B$9)+IF(MOD(INT(F71*'Price rules'!$B$5),'Price rules'!$B$9)&lt;'Price rules'!$B$10,0,'Price rules'!$B$9))</x:f>
        <x:v>255</x:v>
      </x:c>
      <x:c r="H71" s="30" t="n">
        <x:f>IF(F71="","",FLOOR(INT(F71*'Price rules'!$B$7),'Price rules'!$B$9)+IF(MOD(INT(F71*'Price rules'!$B$7),'Price rules'!$B$9)&lt;'Price rules'!$B$10,0,'Price rules'!$B$9))</x:f>
        <x:v>325</x:v>
      </x:c>
      <x:c r="I71" s="30" t="n">
        <x:f>IF(F71="","",FLOOR(INT(F71*'Price rules'!$B$8),'Price rules'!$B$9)+IF(MOD(INT(F71*'Price rules'!$B$8),'Price rules'!$B$9)&lt;'Price rules'!$B$10,0,'Price rules'!$B$9))</x:f>
        <x:v>360</x:v>
      </x:c>
      <x:c r="J71" s="30" t="n">
        <x:f>IF(N71="conditional","",SUMIFS($F$5:$F$394,$A$5:$A$394,A71,$C$5:$C$394,C71,$D$5:$D$394,"&lt;="&amp;D71)+SUMIF(Towers!$A$5:$A$30,A71,Towers!$E$5:$E$30))</x:f>
        <x:v>900</x:v>
      </x:c>
      <x:c r="K71" s="30" t="n">
        <x:v>500</x:v>
      </x:c>
      <x:c r="L71" s="25" t="str">
        <x:v>status</x:v>
      </x:c>
      <x:c r="M71" s="25" t="str">
        <x:v>Improves pierce, duration, and the number of frozen layers.</x:v>
      </x:c>
      <x:c r="N71" s="25" t="str">
        <x:v>fixed_upgrade_price</x:v>
      </x:c>
      <x:c r="O71" s="30" t="n">
        <x:v>300</x:v>
      </x:c>
      <x:c r="P71" s="25" t="str">
        <x:v>https://raw.githubusercontent.com/Btd6ModHelper/btd6-game-data/main/Towers/IceMonkey/IceMonkey-020.json</x:v>
      </x:c>
      <x:c r="Q71" s="25" t="str">
        <x:v>https://raw.githubusercontent.com/hemisemidemipresent/cyberquincy/master/jsons/costs.json</x:v>
      </x:c>
      <x:c r="R71" s="25" t="str">
        <x:v>https://raw.githubusercontent.com/Btd6ModHelper/btd6-game-data/main/textTable.json</x:v>
      </x:c>
      <x:c r="S71" s="25" t="str">
        <x:v>https://www.bloonswiki.com/Ice_Monkey_(BTD6)</x:v>
      </x:c>
      <x:c r="T71" s="25" t="str">
        <x:v>46.2</x:v>
      </x:c>
    </x:row>
    <x:row r="72" ht="64" customHeight="1">
      <x:c r="A72" s="25" t="str">
        <x:v>Ice Monkey</x:v>
      </x:c>
      <x:c r="B72" s="80" t="str">
        <x:v>030</x:v>
      </x:c>
      <x:c r="C72" s="25" t="str">
        <x:v>middle</x:v>
      </x:c>
      <x:c r="D72" s="25" t="n">
        <x:v>3</x:v>
      </x:c>
      <x:c r="E72" s="25" t="str">
        <x:v>Arctic Wind</x:v>
      </x:c>
      <x:c r="F72" s="30" t="n">
        <x:v>2750</x:v>
      </x:c>
      <x:c r="G72" s="30" t="n">
        <x:f>IF(F72="","",FLOOR(INT(F72*'Price rules'!$B$5),'Price rules'!$B$9)+IF(MOD(INT(F72*'Price rules'!$B$5),'Price rules'!$B$9)&lt;'Price rules'!$B$10,0,'Price rules'!$B$9))</x:f>
        <x:v>2335</x:v>
      </x:c>
      <x:c r="H72" s="30" t="n">
        <x:f>IF(F72="","",FLOOR(INT(F72*'Price rules'!$B$7),'Price rules'!$B$9)+IF(MOD(INT(F72*'Price rules'!$B$7),'Price rules'!$B$9)&lt;'Price rules'!$B$10,0,'Price rules'!$B$9))</x:f>
        <x:v>2970</x:v>
      </x:c>
      <x:c r="I72" s="30" t="n">
        <x:f>IF(F72="","",FLOOR(INT(F72*'Price rules'!$B$8),'Price rules'!$B$9)+IF(MOD(INT(F72*'Price rules'!$B$8),'Price rules'!$B$9)&lt;'Price rules'!$B$10,0,'Price rules'!$B$9))</x:f>
        <x:v>3300</x:v>
      </x:c>
      <x:c r="J72" s="30" t="n">
        <x:f>IF(N72="conditional","",SUMIFS($F$5:$F$394,$A$5:$A$394,A72,$C$5:$C$394,C72,$D$5:$D$394,"&lt;="&amp;D72)+SUMIF(Towers!$A$5:$A$30,A72,Towers!$E$5:$E$30))</x:f>
        <x:v>3650</x:v>
      </x:c>
      <x:c r="K72" s="30" t="n">
        <x:v>2500</x:v>
      </x:c>
      <x:c r="L72" s="25" t="str">
        <x:v>slow</x:v>
      </x:c>
      <x:c r="M72" s="25" t="str">
        <x:v>Adds a slowing aura and freezes nearby water for tower placement.</x:v>
      </x:c>
      <x:c r="N72" s="25" t="str">
        <x:v>fixed_upgrade_price</x:v>
      </x:c>
      <x:c r="O72" s="30" t="n">
        <x:v>2750</x:v>
      </x:c>
      <x:c r="P72" s="25" t="str">
        <x:v>https://raw.githubusercontent.com/Btd6ModHelper/btd6-game-data/main/Towers/IceMonkey/IceMonkey-030.json</x:v>
      </x:c>
      <x:c r="Q72" s="25" t="str">
        <x:v>https://raw.githubusercontent.com/hemisemidemipresent/cyberquincy/master/jsons/costs.json</x:v>
      </x:c>
      <x:c r="R72" s="25" t="str">
        <x:v>https://raw.githubusercontent.com/Btd6ModHelper/btd6-game-data/main/textTable.json</x:v>
      </x:c>
      <x:c r="S72" s="25" t="str">
        <x:v>https://www.bloonswiki.com/Ice_Monkey_(BTD6)</x:v>
      </x:c>
      <x:c r="T72" s="25" t="str">
        <x:v>46.2</x:v>
      </x:c>
    </x:row>
    <x:row r="73" ht="64" customHeight="1">
      <x:c r="A73" s="25" t="str">
        <x:v>Ice Monkey</x:v>
      </x:c>
      <x:c r="B73" s="80" t="str">
        <x:v>040</x:v>
      </x:c>
      <x:c r="C73" s="25" t="str">
        <x:v>middle</x:v>
      </x:c>
      <x:c r="D73" s="25" t="n">
        <x:v>4</x:v>
      </x:c>
      <x:c r="E73" s="25" t="str">
        <x:v>Snowstorm</x:v>
      </x:c>
      <x:c r="F73" s="30" t="n">
        <x:v>4750</x:v>
      </x:c>
      <x:c r="G73" s="30" t="n">
        <x:f>IF(F73="","",FLOOR(INT(F73*'Price rules'!$B$5),'Price rules'!$B$9)+IF(MOD(INT(F73*'Price rules'!$B$5),'Price rules'!$B$9)&lt;'Price rules'!$B$10,0,'Price rules'!$B$9))</x:f>
        <x:v>4035</x:v>
      </x:c>
      <x:c r="H73" s="30" t="n">
        <x:f>IF(F73="","",FLOOR(INT(F73*'Price rules'!$B$7),'Price rules'!$B$9)+IF(MOD(INT(F73*'Price rules'!$B$7),'Price rules'!$B$9)&lt;'Price rules'!$B$10,0,'Price rules'!$B$9))</x:f>
        <x:v>5130</x:v>
      </x:c>
      <x:c r="I73" s="30" t="n">
        <x:f>IF(F73="","",FLOOR(INT(F73*'Price rules'!$B$8),'Price rules'!$B$9)+IF(MOD(INT(F73*'Price rules'!$B$8),'Price rules'!$B$9)&lt;'Price rules'!$B$10,0,'Price rules'!$B$9))</x:f>
        <x:v>5700</x:v>
      </x:c>
      <x:c r="J73" s="30" t="n">
        <x:f>IF(N73="conditional","",SUMIFS($F$5:$F$394,$A$5:$A$394,A73,$C$5:$C$394,C73,$D$5:$D$394,"&lt;="&amp;D73)+SUMIF(Towers!$A$5:$A$30,A73,Towers!$E$5:$E$30))</x:f>
        <x:v>8400</x:v>
      </x:c>
      <x:c r="K73" s="30" t="n">
        <x:v>8500</x:v>
      </x:c>
      <x:c r="L73" s="25" t="str">
        <x:v>status</x:v>
      </x:c>
      <x:c r="M73" s="25" t="str">
        <x:v>Adds a map-wide freeze ability that also slows eligible MOAB-class targets.</x:v>
      </x:c>
      <x:c r="N73" s="25" t="str">
        <x:v>fixed_upgrade_price</x:v>
      </x:c>
      <x:c r="O73" s="30" t="n">
        <x:v>4750</x:v>
      </x:c>
      <x:c r="P73" s="25" t="str">
        <x:v>https://raw.githubusercontent.com/Btd6ModHelper/btd6-game-data/main/Towers/IceMonkey/IceMonkey-040.json</x:v>
      </x:c>
      <x:c r="Q73" s="25" t="str">
        <x:v>https://raw.githubusercontent.com/hemisemidemipresent/cyberquincy/master/jsons/costs.json</x:v>
      </x:c>
      <x:c r="R73" s="25" t="str">
        <x:v>https://raw.githubusercontent.com/Btd6ModHelper/btd6-game-data/main/textTable.json</x:v>
      </x:c>
      <x:c r="S73" s="25" t="str">
        <x:v>https://www.bloonswiki.com/Ice_Monkey_(BTD6)</x:v>
      </x:c>
      <x:c r="T73" s="25" t="str">
        <x:v>46.2</x:v>
      </x:c>
    </x:row>
    <x:row r="74" ht="64" customHeight="1">
      <x:c r="A74" s="25" t="str">
        <x:v>Ice Monkey</x:v>
      </x:c>
      <x:c r="B74" s="80" t="str">
        <x:v>050</x:v>
      </x:c>
      <x:c r="C74" s="25" t="str">
        <x:v>middle</x:v>
      </x:c>
      <x:c r="D74" s="25" t="n">
        <x:v>5</x:v>
      </x:c>
      <x:c r="E74" s="25" t="str">
        <x:v>Absolute Zero</x:v>
      </x:c>
      <x:c r="F74" s="30" t="n">
        <x:v>21000</x:v>
      </x:c>
      <x:c r="G74" s="30" t="n">
        <x:f>IF(F74="","",FLOOR(INT(F74*'Price rules'!$B$5),'Price rules'!$B$9)+IF(MOD(INT(F74*'Price rules'!$B$5),'Price rules'!$B$9)&lt;'Price rules'!$B$10,0,'Price rules'!$B$9))</x:f>
        <x:v>17850</x:v>
      </x:c>
      <x:c r="H74" s="30" t="n">
        <x:f>IF(F74="","",FLOOR(INT(F74*'Price rules'!$B$7),'Price rules'!$B$9)+IF(MOD(INT(F74*'Price rules'!$B$7),'Price rules'!$B$9)&lt;'Price rules'!$B$10,0,'Price rules'!$B$9))</x:f>
        <x:v>22680</x:v>
      </x:c>
      <x:c r="I74" s="30" t="n">
        <x:f>IF(F74="","",FLOOR(INT(F74*'Price rules'!$B$8),'Price rules'!$B$9)+IF(MOD(INT(F74*'Price rules'!$B$8),'Price rules'!$B$9)&lt;'Price rules'!$B$10,0,'Price rules'!$B$9))</x:f>
        <x:v>25200</x:v>
      </x:c>
      <x:c r="J74" s="30" t="n">
        <x:f>IF(N74="conditional","",SUMIFS($F$5:$F$394,$A$5:$A$394,A74,$C$5:$C$394,C74,$D$5:$D$394,"&lt;="&amp;D74)+SUMIF(Towers!$A$5:$A$30,A74,Towers!$E$5:$E$30))</x:f>
        <x:v>29400</x:v>
      </x:c>
      <x:c r="K74" s="30" t="n">
        <x:v>27500</x:v>
      </x:c>
      <x:c r="L74" s="25" t="str">
        <x:v>status</x:v>
      </x:c>
      <x:c r="M74" s="25" t="str">
        <x:v>Adds brief global freezes to regular attacks and strengthens Snowstorm and Ice Monkey buffs.</x:v>
      </x:c>
      <x:c r="N74" s="25" t="str">
        <x:v>fixed_upgrade_price</x:v>
      </x:c>
      <x:c r="O74" s="30" t="n">
        <x:v>21000</x:v>
      </x:c>
      <x:c r="P74" s="25" t="str">
        <x:v>https://raw.githubusercontent.com/Btd6ModHelper/btd6-game-data/main/Towers/IceMonkey/IceMonkey-050.json</x:v>
      </x:c>
      <x:c r="Q74" s="25" t="str">
        <x:v>https://raw.githubusercontent.com/hemisemidemipresent/cyberquincy/master/jsons/costs.json</x:v>
      </x:c>
      <x:c r="R74" s="25" t="str">
        <x:v>https://raw.githubusercontent.com/Btd6ModHelper/btd6-game-data/main/textTable.json</x:v>
      </x:c>
      <x:c r="S74" s="25" t="str">
        <x:v>https://www.bloonswiki.com/Ice_Monkey_(BTD6)</x:v>
      </x:c>
      <x:c r="T74" s="25" t="str">
        <x:v>46.2</x:v>
      </x:c>
    </x:row>
    <x:row r="75" ht="64" customHeight="1">
      <x:c r="A75" s="25" t="str">
        <x:v>Ice Monkey</x:v>
      </x:c>
      <x:c r="B75" s="80" t="str">
        <x:v>001</x:v>
      </x:c>
      <x:c r="C75" s="25" t="str">
        <x:v>bottom</x:v>
      </x:c>
      <x:c r="D75" s="25" t="n">
        <x:v>1</x:v>
      </x:c>
      <x:c r="E75" s="25" t="str">
        <x:v>Larger Radius</x:v>
      </x:c>
      <x:c r="F75" s="30" t="n">
        <x:v>150</x:v>
      </x:c>
      <x:c r="G75" s="30" t="n">
        <x:f>IF(F75="","",FLOOR(INT(F75*'Price rules'!$B$5),'Price rules'!$B$9)+IF(MOD(INT(F75*'Price rules'!$B$5),'Price rules'!$B$9)&lt;'Price rules'!$B$10,0,'Price rules'!$B$9))</x:f>
        <x:v>125</x:v>
      </x:c>
      <x:c r="H75" s="30" t="n">
        <x:f>IF(F75="","",FLOOR(INT(F75*'Price rules'!$B$7),'Price rules'!$B$9)+IF(MOD(INT(F75*'Price rules'!$B$7),'Price rules'!$B$9)&lt;'Price rules'!$B$10,0,'Price rules'!$B$9))</x:f>
        <x:v>160</x:v>
      </x:c>
      <x:c r="I75" s="30" t="n">
        <x:f>IF(F75="","",FLOOR(INT(F75*'Price rules'!$B$8),'Price rules'!$B$9)+IF(MOD(INT(F75*'Price rules'!$B$8),'Price rules'!$B$9)&lt;'Price rules'!$B$10,0,'Price rules'!$B$9))</x:f>
        <x:v>180</x:v>
      </x:c>
      <x:c r="J75" s="30" t="n">
        <x:f>IF(N75="conditional","",SUMIFS($F$5:$F$394,$A$5:$A$394,A75,$C$5:$C$394,C75,$D$5:$D$394,"&lt;="&amp;D75)+SUMIF(Towers!$A$5:$A$30,A75,Towers!$E$5:$E$30))</x:f>
        <x:v>550</x:v>
      </x:c>
      <x:c r="K75" s="30" t="n">
        <x:v>160</x:v>
      </x:c>
      <x:c r="L75" s="25" t="str">
        <x:v>status</x:v>
      </x:c>
      <x:c r="M75" s="25" t="str">
        <x:v>Increases the freeze radius.</x:v>
      </x:c>
      <x:c r="N75" s="25" t="str">
        <x:v>fixed_upgrade_price</x:v>
      </x:c>
      <x:c r="O75" s="30" t="n">
        <x:v>150</x:v>
      </x:c>
      <x:c r="P75" s="25" t="str">
        <x:v>https://raw.githubusercontent.com/Btd6ModHelper/btd6-game-data/main/Towers/IceMonkey/IceMonkey-001.json</x:v>
      </x:c>
      <x:c r="Q75" s="25" t="str">
        <x:v>https://raw.githubusercontent.com/hemisemidemipresent/cyberquincy/master/jsons/costs.json</x:v>
      </x:c>
      <x:c r="R75" s="25" t="str">
        <x:v>https://raw.githubusercontent.com/Btd6ModHelper/btd6-game-data/main/textTable.json</x:v>
      </x:c>
      <x:c r="S75" s="25" t="str">
        <x:v>https://www.bloonswiki.com/Ice_Monkey_(BTD6)</x:v>
      </x:c>
      <x:c r="T75" s="25" t="str">
        <x:v>46.2</x:v>
      </x:c>
    </x:row>
    <x:row r="76" ht="64" customHeight="1">
      <x:c r="A76" s="25" t="str">
        <x:v>Ice Monkey</x:v>
      </x:c>
      <x:c r="B76" s="80" t="str">
        <x:v>002</x:v>
      </x:c>
      <x:c r="C76" s="25" t="str">
        <x:v>bottom</x:v>
      </x:c>
      <x:c r="D76" s="25" t="n">
        <x:v>2</x:v>
      </x:c>
      <x:c r="E76" s="25" t="str">
        <x:v>Re-Freeze</x:v>
      </x:c>
      <x:c r="F76" s="30" t="n">
        <x:v>200</x:v>
      </x:c>
      <x:c r="G76" s="30" t="n">
        <x:f>IF(F76="","",FLOOR(INT(F76*'Price rules'!$B$5),'Price rules'!$B$9)+IF(MOD(INT(F76*'Price rules'!$B$5),'Price rules'!$B$9)&lt;'Price rules'!$B$10,0,'Price rules'!$B$9))</x:f>
        <x:v>170</x:v>
      </x:c>
      <x:c r="H76" s="30" t="n">
        <x:f>IF(F76="","",FLOOR(INT(F76*'Price rules'!$B$7),'Price rules'!$B$9)+IF(MOD(INT(F76*'Price rules'!$B$7),'Price rules'!$B$9)&lt;'Price rules'!$B$10,0,'Price rules'!$B$9))</x:f>
        <x:v>215</x:v>
      </x:c>
      <x:c r="I76" s="30" t="n">
        <x:f>IF(F76="","",FLOOR(INT(F76*'Price rules'!$B$8),'Price rules'!$B$9)+IF(MOD(INT(F76*'Price rules'!$B$8),'Price rules'!$B$9)&lt;'Price rules'!$B$10,0,'Price rules'!$B$9))</x:f>
        <x:v>240</x:v>
      </x:c>
      <x:c r="J76" s="30" t="n">
        <x:f>IF(N76="conditional","",SUMIFS($F$5:$F$394,$A$5:$A$394,A76,$C$5:$C$394,C76,$D$5:$D$394,"&lt;="&amp;D76)+SUMIF(Towers!$A$5:$A$30,A76,Towers!$E$5:$E$30))</x:f>
        <x:v>750</x:v>
      </x:c>
      <x:c r="K76" s="30" t="n">
        <x:v>500</x:v>
      </x:c>
      <x:c r="L76" s="25" t="str">
        <x:v>status</x:v>
      </x:c>
      <x:c r="M76" s="25" t="str">
        <x:v>Allows attacks to affect already-frozen targets.</x:v>
      </x:c>
      <x:c r="N76" s="25" t="str">
        <x:v>fixed_upgrade_price</x:v>
      </x:c>
      <x:c r="O76" s="30" t="n">
        <x:v>200</x:v>
      </x:c>
      <x:c r="P76" s="25" t="str">
        <x:v>https://raw.githubusercontent.com/Btd6ModHelper/btd6-game-data/main/Towers/IceMonkey/IceMonkey-002.json</x:v>
      </x:c>
      <x:c r="Q76" s="25" t="str">
        <x:v>https://raw.githubusercontent.com/hemisemidemipresent/cyberquincy/master/jsons/costs.json</x:v>
      </x:c>
      <x:c r="R76" s="25" t="str">
        <x:v>https://raw.githubusercontent.com/Btd6ModHelper/btd6-game-data/main/textTable.json</x:v>
      </x:c>
      <x:c r="S76" s="25" t="str">
        <x:v>https://www.bloonswiki.com/Ice_Monkey_(BTD6)</x:v>
      </x:c>
      <x:c r="T76" s="25" t="str">
        <x:v>46.2</x:v>
      </x:c>
    </x:row>
    <x:row r="77" ht="64" customHeight="1">
      <x:c r="A77" s="25" t="str">
        <x:v>Ice Monkey</x:v>
      </x:c>
      <x:c r="B77" s="80" t="str">
        <x:v>003</x:v>
      </x:c>
      <x:c r="C77" s="25" t="str">
        <x:v>bottom</x:v>
      </x:c>
      <x:c r="D77" s="25" t="n">
        <x:v>3</x:v>
      </x:c>
      <x:c r="E77" s="25" t="str">
        <x:v>Cryo Cannon</x:v>
      </x:c>
      <x:c r="F77" s="30" t="n">
        <x:v>1900</x:v>
      </x:c>
      <x:c r="G77" s="30" t="n">
        <x:f>IF(F77="","",FLOOR(INT(F77*'Price rules'!$B$5),'Price rules'!$B$9)+IF(MOD(INT(F77*'Price rules'!$B$5),'Price rules'!$B$9)&lt;'Price rules'!$B$10,0,'Price rules'!$B$9))</x:f>
        <x:v>1615</x:v>
      </x:c>
      <x:c r="H77" s="30" t="n">
        <x:f>IF(F77="","",FLOOR(INT(F77*'Price rules'!$B$7),'Price rules'!$B$9)+IF(MOD(INT(F77*'Price rules'!$B$7),'Price rules'!$B$9)&lt;'Price rules'!$B$10,0,'Price rules'!$B$9))</x:f>
        <x:v>2050</x:v>
      </x:c>
      <x:c r="I77" s="30" t="n">
        <x:f>IF(F77="","",FLOOR(INT(F77*'Price rules'!$B$8),'Price rules'!$B$9)+IF(MOD(INT(F77*'Price rules'!$B$8),'Price rules'!$B$9)&lt;'Price rules'!$B$10,0,'Price rules'!$B$9))</x:f>
        <x:v>2280</x:v>
      </x:c>
      <x:c r="J77" s="30" t="n">
        <x:f>IF(N77="conditional","",SUMIFS($F$5:$F$394,$A$5:$A$394,A77,$C$5:$C$394,C77,$D$5:$D$394,"&lt;="&amp;D77)+SUMIF(Towers!$A$5:$A$30,A77,Towers!$E$5:$E$30))</x:f>
        <x:v>2650</x:v>
      </x:c>
      <x:c r="K77" s="30" t="n">
        <x:v>2500</x:v>
      </x:c>
      <x:c r="L77" s="25" t="str">
        <x:v>slow</x:v>
      </x:c>
      <x:c r="M77" s="25" t="str">
        <x:v>Replaces the short-range pulse with longer-range ice projectiles.</x:v>
      </x:c>
      <x:c r="N77" s="25" t="str">
        <x:v>fixed_upgrade_price</x:v>
      </x:c>
      <x:c r="O77" s="30" t="n">
        <x:v>1900</x:v>
      </x:c>
      <x:c r="P77" s="25" t="str">
        <x:v>https://raw.githubusercontent.com/Btd6ModHelper/btd6-game-data/main/Towers/IceMonkey/IceMonkey-003.json</x:v>
      </x:c>
      <x:c r="Q77" s="25" t="str">
        <x:v>https://raw.githubusercontent.com/hemisemidemipresent/cyberquincy/master/jsons/costs.json</x:v>
      </x:c>
      <x:c r="R77" s="25" t="str">
        <x:v>https://raw.githubusercontent.com/Btd6ModHelper/btd6-game-data/main/textTable.json</x:v>
      </x:c>
      <x:c r="S77" s="25" t="str">
        <x:v>https://www.bloonswiki.com/Ice_Monkey_(BTD6)</x:v>
      </x:c>
      <x:c r="T77" s="25" t="str">
        <x:v>46.2</x:v>
      </x:c>
    </x:row>
    <x:row r="78" ht="64" customHeight="1">
      <x:c r="A78" s="25" t="str">
        <x:v>Ice Monkey</x:v>
      </x:c>
      <x:c r="B78" s="80" t="str">
        <x:v>004</x:v>
      </x:c>
      <x:c r="C78" s="25" t="str">
        <x:v>bottom</x:v>
      </x:c>
      <x:c r="D78" s="25" t="n">
        <x:v>4</x:v>
      </x:c>
      <x:c r="E78" s="25" t="str">
        <x:v>Icicles</x:v>
      </x:c>
      <x:c r="F78" s="30" t="n">
        <x:v>2750</x:v>
      </x:c>
      <x:c r="G78" s="30" t="n">
        <x:f>IF(F78="","",FLOOR(INT(F78*'Price rules'!$B$5),'Price rules'!$B$9)+IF(MOD(INT(F78*'Price rules'!$B$5),'Price rules'!$B$9)&lt;'Price rules'!$B$10,0,'Price rules'!$B$9))</x:f>
        <x:v>2335</x:v>
      </x:c>
      <x:c r="H78" s="30" t="n">
        <x:f>IF(F78="","",FLOOR(INT(F78*'Price rules'!$B$7),'Price rules'!$B$9)+IF(MOD(INT(F78*'Price rules'!$B$7),'Price rules'!$B$9)&lt;'Price rules'!$B$10,0,'Price rules'!$B$9))</x:f>
        <x:v>2970</x:v>
      </x:c>
      <x:c r="I78" s="30" t="n">
        <x:f>IF(F78="","",FLOOR(INT(F78*'Price rules'!$B$8),'Price rules'!$B$9)+IF(MOD(INT(F78*'Price rules'!$B$8),'Price rules'!$B$9)&lt;'Price rules'!$B$10,0,'Price rules'!$B$9))</x:f>
        <x:v>3300</x:v>
      </x:c>
      <x:c r="J78" s="30" t="n">
        <x:f>IF(N78="conditional","",SUMIFS($F$5:$F$394,$A$5:$A$394,A78,$C$5:$C$394,C78,$D$5:$D$394,"&lt;="&amp;D78)+SUMIF(Towers!$A$5:$A$30,A78,Towers!$E$5:$E$30))</x:f>
        <x:v>5400</x:v>
      </x:c>
      <x:c r="K78" s="30" t="n">
        <x:v>9000</x:v>
      </x:c>
      <x:c r="L78" s="25" t="str">
        <x:v>slow</x:v>
      </x:c>
      <x:c r="M78" s="25" t="str">
        <x:v>Frozen targets damage nearby Bloons; attacks gain bonus MOAB damage.</x:v>
      </x:c>
      <x:c r="N78" s="25" t="str">
        <x:v>fixed_upgrade_price</x:v>
      </x:c>
      <x:c r="O78" s="30" t="n">
        <x:v>2750</x:v>
      </x:c>
      <x:c r="P78" s="25" t="str">
        <x:v>https://raw.githubusercontent.com/Btd6ModHelper/btd6-game-data/main/Towers/IceMonkey/IceMonkey-004.json</x:v>
      </x:c>
      <x:c r="Q78" s="25" t="str">
        <x:v>https://raw.githubusercontent.com/hemisemidemipresent/cyberquincy/master/jsons/costs.json</x:v>
      </x:c>
      <x:c r="R78" s="25" t="str">
        <x:v>https://raw.githubusercontent.com/Btd6ModHelper/btd6-game-data/main/textTable.json</x:v>
      </x:c>
      <x:c r="S78" s="25" t="str">
        <x:v>https://www.bloonswiki.com/Ice_Monkey_(BTD6)</x:v>
      </x:c>
      <x:c r="T78" s="25" t="str">
        <x:v>46.2</x:v>
      </x:c>
    </x:row>
    <x:row r="79" ht="64" customHeight="1">
      <x:c r="A79" s="25" t="str">
        <x:v>Ice Monkey</x:v>
      </x:c>
      <x:c r="B79" s="80" t="str">
        <x:v>005</x:v>
      </x:c>
      <x:c r="C79" s="25" t="str">
        <x:v>bottom</x:v>
      </x:c>
      <x:c r="D79" s="25" t="n">
        <x:v>5</x:v>
      </x:c>
      <x:c r="E79" s="25" t="str">
        <x:v>Icicle Impale</x:v>
      </x:c>
      <x:c r="F79" s="30" t="n">
        <x:v>30000</x:v>
      </x:c>
      <x:c r="G79" s="30" t="n">
        <x:f>IF(F79="","",FLOOR(INT(F79*'Price rules'!$B$5),'Price rules'!$B$9)+IF(MOD(INT(F79*'Price rules'!$B$5),'Price rules'!$B$9)&lt;'Price rules'!$B$10,0,'Price rules'!$B$9))</x:f>
        <x:v>25500</x:v>
      </x:c>
      <x:c r="H79" s="30" t="n">
        <x:f>IF(F79="","",FLOOR(INT(F79*'Price rules'!$B$7),'Price rules'!$B$9)+IF(MOD(INT(F79*'Price rules'!$B$7),'Price rules'!$B$9)&lt;'Price rules'!$B$10,0,'Price rules'!$B$9))</x:f>
        <x:v>32400</x:v>
      </x:c>
      <x:c r="I79" s="30" t="n">
        <x:f>IF(F79="","",FLOOR(INT(F79*'Price rules'!$B$8),'Price rules'!$B$9)+IF(MOD(INT(F79*'Price rules'!$B$8),'Price rules'!$B$9)&lt;'Price rules'!$B$10,0,'Price rules'!$B$9))</x:f>
        <x:v>36000</x:v>
      </x:c>
      <x:c r="J79" s="30" t="n">
        <x:f>IF(N79="conditional","",SUMIFS($F$5:$F$394,$A$5:$A$394,A79,$C$5:$C$394,C79,$D$5:$D$394,"&lt;="&amp;D79)+SUMIF(Towers!$A$5:$A$30,A79,Towers!$E$5:$E$30))</x:f>
        <x:v>35400</x:v>
      </x:c>
      <x:c r="K79" s="30" t="n">
        <x:v>30000</x:v>
      </x:c>
      <x:c r="L79" s="25" t="str">
        <x:v>slow</x:v>
      </x:c>
      <x:c r="M79" s="25" t="str">
        <x:v>Adds powerful icicles that damage and freeze or slow MOAB-class targets.</x:v>
      </x:c>
      <x:c r="N79" s="25" t="str">
        <x:v>fixed_upgrade_price</x:v>
      </x:c>
      <x:c r="O79" s="30" t="n">
        <x:v>30000</x:v>
      </x:c>
      <x:c r="P79" s="25" t="str">
        <x:v>https://raw.githubusercontent.com/Btd6ModHelper/btd6-game-data/main/Towers/IceMonkey/IceMonkey-005.json</x:v>
      </x:c>
      <x:c r="Q79" s="25" t="str">
        <x:v>https://raw.githubusercontent.com/hemisemidemipresent/cyberquincy/master/jsons/costs.json</x:v>
      </x:c>
      <x:c r="R79" s="25" t="str">
        <x:v>https://raw.githubusercontent.com/Btd6ModHelper/btd6-game-data/main/textTable.json</x:v>
      </x:c>
      <x:c r="S79" s="25" t="str">
        <x:v>https://www.bloonswiki.com/Ice_Monkey_(BTD6)</x:v>
      </x:c>
      <x:c r="T79" s="25" t="str">
        <x:v>46.2</x:v>
      </x:c>
    </x:row>
    <x:row r="80" ht="64" customHeight="1">
      <x:c r="A80" s="25" t="str">
        <x:v>Glue Gunner</x:v>
      </x:c>
      <x:c r="B80" s="80" t="str">
        <x:v>100</x:v>
      </x:c>
      <x:c r="C80" s="25" t="str">
        <x:v>top</x:v>
      </x:c>
      <x:c r="D80" s="25" t="n">
        <x:v>1</x:v>
      </x:c>
      <x:c r="E80" s="25" t="str">
        <x:v>Glue Soak</x:v>
      </x:c>
      <x:c r="F80" s="30" t="n">
        <x:v>200</x:v>
      </x:c>
      <x:c r="G80" s="30" t="n">
        <x:f>IF(F80="","",FLOOR(INT(F80*'Price rules'!$B$5),'Price rules'!$B$9)+IF(MOD(INT(F80*'Price rules'!$B$5),'Price rules'!$B$9)&lt;'Price rules'!$B$10,0,'Price rules'!$B$9))</x:f>
        <x:v>170</x:v>
      </x:c>
      <x:c r="H80" s="30" t="n">
        <x:f>IF(F80="","",FLOOR(INT(F80*'Price rules'!$B$7),'Price rules'!$B$9)+IF(MOD(INT(F80*'Price rules'!$B$7),'Price rules'!$B$9)&lt;'Price rules'!$B$10,0,'Price rules'!$B$9))</x:f>
        <x:v>215</x:v>
      </x:c>
      <x:c r="I80" s="30" t="n">
        <x:f>IF(F80="","",FLOOR(INT(F80*'Price rules'!$B$8),'Price rules'!$B$9)+IF(MOD(INT(F80*'Price rules'!$B$8),'Price rules'!$B$9)&lt;'Price rules'!$B$10,0,'Price rules'!$B$9))</x:f>
        <x:v>240</x:v>
      </x:c>
      <x:c r="J80" s="30" t="n">
        <x:f>IF(N80="conditional","",SUMIFS($F$5:$F$394,$A$5:$A$394,A80,$C$5:$C$394,C80,$D$5:$D$394,"&lt;="&amp;D80)+SUMIF(Towers!$A$5:$A$30,A80,Towers!$E$5:$E$30))</x:f>
        <x:v>425</x:v>
      </x:c>
      <x:c r="K80" s="30"/>
      <x:c r="L80" s="25" t="str">
        <x:v>slow</x:v>
      </x:c>
      <x:c r="M80" s="25" t="str">
        <x:v>Preserves glue through additional Bloon layers.</x:v>
      </x:c>
      <x:c r="N80" s="25" t="str">
        <x:v>fixed_upgrade_price</x:v>
      </x:c>
      <x:c r="O80" s="30" t="n">
        <x:v>200</x:v>
      </x:c>
      <x:c r="P80" s="25" t="str">
        <x:v>https://raw.githubusercontent.com/Btd6ModHelper/btd6-game-data/main/Towers/GlueGunner/GlueGunner-100.json</x:v>
      </x:c>
      <x:c r="Q80" s="25" t="str">
        <x:v>https://raw.githubusercontent.com/hemisemidemipresent/cyberquincy/master/jsons/costs.json</x:v>
      </x:c>
      <x:c r="R80" s="25" t="str">
        <x:v>https://raw.githubusercontent.com/Btd6ModHelper/btd6-game-data/main/textTable.json</x:v>
      </x:c>
      <x:c r="S80" s="25"/>
      <x:c r="T80" s="25"/>
    </x:row>
    <x:row r="81" ht="64" customHeight="1">
      <x:c r="A81" s="25" t="str">
        <x:v>Glue Gunner</x:v>
      </x:c>
      <x:c r="B81" s="80" t="str">
        <x:v>200</x:v>
      </x:c>
      <x:c r="C81" s="25" t="str">
        <x:v>top</x:v>
      </x:c>
      <x:c r="D81" s="25" t="n">
        <x:v>2</x:v>
      </x:c>
      <x:c r="E81" s="25" t="str">
        <x:v>Corrosive Glue</x:v>
      </x:c>
      <x:c r="F81" s="30" t="n">
        <x:v>300</x:v>
      </x:c>
      <x:c r="G81" s="30" t="n">
        <x:f>IF(F81="","",FLOOR(INT(F81*'Price rules'!$B$5),'Price rules'!$B$9)+IF(MOD(INT(F81*'Price rules'!$B$5),'Price rules'!$B$9)&lt;'Price rules'!$B$10,0,'Price rules'!$B$9))</x:f>
        <x:v>255</x:v>
      </x:c>
      <x:c r="H81" s="30" t="n">
        <x:f>IF(F81="","",FLOOR(INT(F81*'Price rules'!$B$7),'Price rules'!$B$9)+IF(MOD(INT(F81*'Price rules'!$B$7),'Price rules'!$B$9)&lt;'Price rules'!$B$10,0,'Price rules'!$B$9))</x:f>
        <x:v>325</x:v>
      </x:c>
      <x:c r="I81" s="30" t="n">
        <x:f>IF(F81="","",FLOOR(INT(F81*'Price rules'!$B$8),'Price rules'!$B$9)+IF(MOD(INT(F81*'Price rules'!$B$8),'Price rules'!$B$9)&lt;'Price rules'!$B$10,0,'Price rules'!$B$9))</x:f>
        <x:v>360</x:v>
      </x:c>
      <x:c r="J81" s="30" t="n">
        <x:f>IF(N81="conditional","",SUMIFS($F$5:$F$394,$A$5:$A$394,A81,$C$5:$C$394,C81,$D$5:$D$394,"&lt;="&amp;D81)+SUMIF(Towers!$A$5:$A$30,A81,Towers!$E$5:$E$30))</x:f>
        <x:v>725</x:v>
      </x:c>
      <x:c r="K81" s="30"/>
      <x:c r="L81" s="25" t="str">
        <x:v>slow</x:v>
      </x:c>
      <x:c r="M81" s="25" t="str">
        <x:v>Adds damage over time to glued targets.</x:v>
      </x:c>
      <x:c r="N81" s="25" t="str">
        <x:v>fixed_upgrade_price</x:v>
      </x:c>
      <x:c r="O81" s="30" t="n">
        <x:v>300</x:v>
      </x:c>
      <x:c r="P81" s="25" t="str">
        <x:v>https://raw.githubusercontent.com/Btd6ModHelper/btd6-game-data/main/Towers/GlueGunner/GlueGunner-200.json</x:v>
      </x:c>
      <x:c r="Q81" s="25" t="str">
        <x:v>https://raw.githubusercontent.com/hemisemidemipresent/cyberquincy/master/jsons/costs.json</x:v>
      </x:c>
      <x:c r="R81" s="25" t="str">
        <x:v>https://raw.githubusercontent.com/Btd6ModHelper/btd6-game-data/main/textTable.json</x:v>
      </x:c>
      <x:c r="S81" s="25"/>
      <x:c r="T81" s="25"/>
    </x:row>
    <x:row r="82" ht="64" customHeight="1">
      <x:c r="A82" s="25" t="str">
        <x:v>Glue Gunner</x:v>
      </x:c>
      <x:c r="B82" s="80" t="str">
        <x:v>300</x:v>
      </x:c>
      <x:c r="C82" s="25" t="str">
        <x:v>top</x:v>
      </x:c>
      <x:c r="D82" s="25" t="n">
        <x:v>3</x:v>
      </x:c>
      <x:c r="E82" s="25" t="str">
        <x:v>Bloon Dissolver</x:v>
      </x:c>
      <x:c r="F82" s="30" t="n">
        <x:v>2000</x:v>
      </x:c>
      <x:c r="G82" s="30" t="n">
        <x:f>IF(F82="","",FLOOR(INT(F82*'Price rules'!$B$5),'Price rules'!$B$9)+IF(MOD(INT(F82*'Price rules'!$B$5),'Price rules'!$B$9)&lt;'Price rules'!$B$10,0,'Price rules'!$B$9))</x:f>
        <x:v>1700</x:v>
      </x:c>
      <x:c r="H82" s="30" t="n">
        <x:f>IF(F82="","",FLOOR(INT(F82*'Price rules'!$B$7),'Price rules'!$B$9)+IF(MOD(INT(F82*'Price rules'!$B$7),'Price rules'!$B$9)&lt;'Price rules'!$B$10,0,'Price rules'!$B$9))</x:f>
        <x:v>2160</x:v>
      </x:c>
      <x:c r="I82" s="30" t="n">
        <x:f>IF(F82="","",FLOOR(INT(F82*'Price rules'!$B$8),'Price rules'!$B$9)+IF(MOD(INT(F82*'Price rules'!$B$8),'Price rules'!$B$9)&lt;'Price rules'!$B$10,0,'Price rules'!$B$9))</x:f>
        <x:v>2400</x:v>
      </x:c>
      <x:c r="J82" s="30" t="n">
        <x:f>IF(N82="conditional","",SUMIFS($F$5:$F$394,$A$5:$A$394,A82,$C$5:$C$394,C82,$D$5:$D$394,"&lt;="&amp;D82)+SUMIF(Towers!$A$5:$A$30,A82,Towers!$E$5:$E$30))</x:f>
        <x:v>2725</x:v>
      </x:c>
      <x:c r="K82" s="30"/>
      <x:c r="L82" s="25" t="str">
        <x:v>status</x:v>
      </x:c>
      <x:c r="M82" s="25" t="str">
        <x:v>Improves corrosive damage and the number of targets glued per shot.</x:v>
      </x:c>
      <x:c r="N82" s="25" t="str">
        <x:v>fixed_upgrade_price</x:v>
      </x:c>
      <x:c r="O82" s="30" t="n">
        <x:v>2000</x:v>
      </x:c>
      <x:c r="P82" s="25" t="str">
        <x:v>https://raw.githubusercontent.com/Btd6ModHelper/btd6-game-data/main/Towers/GlueGunner/GlueGunner-300.json</x:v>
      </x:c>
      <x:c r="Q82" s="25" t="str">
        <x:v>https://raw.githubusercontent.com/hemisemidemipresent/cyberquincy/master/jsons/costs.json</x:v>
      </x:c>
      <x:c r="R82" s="25" t="str">
        <x:v>https://raw.githubusercontent.com/Btd6ModHelper/btd6-game-data/main/textTable.json</x:v>
      </x:c>
      <x:c r="S82" s="25"/>
      <x:c r="T82" s="25"/>
    </x:row>
    <x:row r="83" ht="64" customHeight="1">
      <x:c r="A83" s="25" t="str">
        <x:v>Glue Gunner</x:v>
      </x:c>
      <x:c r="B83" s="80" t="str">
        <x:v>400</x:v>
      </x:c>
      <x:c r="C83" s="25" t="str">
        <x:v>top</x:v>
      </x:c>
      <x:c r="D83" s="25" t="n">
        <x:v>4</x:v>
      </x:c>
      <x:c r="E83" s="25" t="str">
        <x:v>Bloon Liquefier</x:v>
      </x:c>
      <x:c r="F83" s="30" t="n">
        <x:v>5000</x:v>
      </x:c>
      <x:c r="G83" s="30" t="n">
        <x:f>IF(F83="","",FLOOR(INT(F83*'Price rules'!$B$5),'Price rules'!$B$9)+IF(MOD(INT(F83*'Price rules'!$B$5),'Price rules'!$B$9)&lt;'Price rules'!$B$10,0,'Price rules'!$B$9))</x:f>
        <x:v>4250</x:v>
      </x:c>
      <x:c r="H83" s="30" t="n">
        <x:f>IF(F83="","",FLOOR(INT(F83*'Price rules'!$B$7),'Price rules'!$B$9)+IF(MOD(INT(F83*'Price rules'!$B$7),'Price rules'!$B$9)&lt;'Price rules'!$B$10,0,'Price rules'!$B$9))</x:f>
        <x:v>5400</x:v>
      </x:c>
      <x:c r="I83" s="30" t="n">
        <x:f>IF(F83="","",FLOOR(INT(F83*'Price rules'!$B$8),'Price rules'!$B$9)+IF(MOD(INT(F83*'Price rules'!$B$8),'Price rules'!$B$9)&lt;'Price rules'!$B$10,0,'Price rules'!$B$9))</x:f>
        <x:v>6000</x:v>
      </x:c>
      <x:c r="J83" s="30" t="n">
        <x:f>IF(N83="conditional","",SUMIFS($F$5:$F$394,$A$5:$A$394,A83,$C$5:$C$394,C83,$D$5:$D$394,"&lt;="&amp;D83)+SUMIF(Towers!$A$5:$A$30,A83,Towers!$E$5:$E$30))</x:f>
        <x:v>7725</x:v>
      </x:c>
      <x:c r="K83" s="30"/>
      <x:c r="L83" s="25" t="str">
        <x:v>status</x:v>
      </x:c>
      <x:c r="M83" s="25" t="str">
        <x:v>Further increases corrosion and leaves damaging acid after a target is destroyed.</x:v>
      </x:c>
      <x:c r="N83" s="25" t="str">
        <x:v>fixed_upgrade_price</x:v>
      </x:c>
      <x:c r="O83" s="30" t="n">
        <x:v>5000</x:v>
      </x:c>
      <x:c r="P83" s="25" t="str">
        <x:v>https://raw.githubusercontent.com/Btd6ModHelper/btd6-game-data/main/Towers/GlueGunner/GlueGunner-400.json</x:v>
      </x:c>
      <x:c r="Q83" s="25" t="str">
        <x:v>https://raw.githubusercontent.com/hemisemidemipresent/cyberquincy/master/jsons/costs.json</x:v>
      </x:c>
      <x:c r="R83" s="25" t="str">
        <x:v>https://raw.githubusercontent.com/Btd6ModHelper/btd6-game-data/main/textTable.json</x:v>
      </x:c>
      <x:c r="S83" s="25"/>
      <x:c r="T83" s="25"/>
    </x:row>
    <x:row r="84" ht="64" customHeight="1">
      <x:c r="A84" s="25" t="str">
        <x:v>Glue Gunner</x:v>
      </x:c>
      <x:c r="B84" s="80" t="str">
        <x:v>500</x:v>
      </x:c>
      <x:c r="C84" s="25" t="str">
        <x:v>top</x:v>
      </x:c>
      <x:c r="D84" s="25" t="n">
        <x:v>5</x:v>
      </x:c>
      <x:c r="E84" s="25" t="str">
        <x:v>The Bloon Solver</x:v>
      </x:c>
      <x:c r="F84" s="30" t="n">
        <x:v>22500</x:v>
      </x:c>
      <x:c r="G84" s="30" t="n">
        <x:f>IF(F84="","",FLOOR(INT(F84*'Price rules'!$B$5),'Price rules'!$B$9)+IF(MOD(INT(F84*'Price rules'!$B$5),'Price rules'!$B$9)&lt;'Price rules'!$B$10,0,'Price rules'!$B$9))</x:f>
        <x:v>19125</x:v>
      </x:c>
      <x:c r="H84" s="30" t="n">
        <x:f>IF(F84="","",FLOOR(INT(F84*'Price rules'!$B$7),'Price rules'!$B$9)+IF(MOD(INT(F84*'Price rules'!$B$7),'Price rules'!$B$9)&lt;'Price rules'!$B$10,0,'Price rules'!$B$9))</x:f>
        <x:v>24300</x:v>
      </x:c>
      <x:c r="I84" s="30" t="n">
        <x:f>IF(F84="","",FLOOR(INT(F84*'Price rules'!$B$8),'Price rules'!$B$9)+IF(MOD(INT(F84*'Price rules'!$B$8),'Price rules'!$B$9)&lt;'Price rules'!$B$10,0,'Price rules'!$B$9))</x:f>
        <x:v>27000</x:v>
      </x:c>
      <x:c r="J84" s="30" t="n">
        <x:f>IF(N84="conditional","",SUMIFS($F$5:$F$394,$A$5:$A$394,A84,$C$5:$C$394,C84,$D$5:$D$394,"&lt;="&amp;D84)+SUMIF(Towers!$A$5:$A$30,A84,Towers!$E$5:$E$30))</x:f>
        <x:v>30225</x:v>
      </x:c>
      <x:c r="K84" s="30"/>
      <x:c r="L84" s="25" t="str">
        <x:v>status</x:v>
      </x:c>
      <x:c r="M84" s="25" t="str">
        <x:v>Upgrades the acid-damage path for sustained group damage.</x:v>
      </x:c>
      <x:c r="N84" s="25" t="str">
        <x:v>fixed_upgrade_price</x:v>
      </x:c>
      <x:c r="O84" s="30" t="n">
        <x:v>22500</x:v>
      </x:c>
      <x:c r="P84" s="25" t="str">
        <x:v>https://raw.githubusercontent.com/Btd6ModHelper/btd6-game-data/main/Towers/GlueGunner/GlueGunner-500.json</x:v>
      </x:c>
      <x:c r="Q84" s="25" t="str">
        <x:v>https://raw.githubusercontent.com/hemisemidemipresent/cyberquincy/master/jsons/costs.json</x:v>
      </x:c>
      <x:c r="R84" s="25" t="str">
        <x:v>https://raw.githubusercontent.com/Btd6ModHelper/btd6-game-data/main/textTable.json</x:v>
      </x:c>
      <x:c r="S84" s="25"/>
      <x:c r="T84" s="25"/>
    </x:row>
    <x:row r="85" ht="64" customHeight="1">
      <x:c r="A85" s="25" t="str">
        <x:v>Glue Gunner</x:v>
      </x:c>
      <x:c r="B85" s="80" t="str">
        <x:v>010</x:v>
      </x:c>
      <x:c r="C85" s="25" t="str">
        <x:v>middle</x:v>
      </x:c>
      <x:c r="D85" s="25" t="n">
        <x:v>1</x:v>
      </x:c>
      <x:c r="E85" s="25" t="str">
        <x:v>Bigger Globs</x:v>
      </x:c>
      <x:c r="F85" s="30" t="n">
        <x:v>100</x:v>
      </x:c>
      <x:c r="G85" s="30" t="n">
        <x:f>IF(F85="","",FLOOR(INT(F85*'Price rules'!$B$5),'Price rules'!$B$9)+IF(MOD(INT(F85*'Price rules'!$B$5),'Price rules'!$B$9)&lt;'Price rules'!$B$10,0,'Price rules'!$B$9))</x:f>
        <x:v>85</x:v>
      </x:c>
      <x:c r="H85" s="30" t="n">
        <x:f>IF(F85="","",FLOOR(INT(F85*'Price rules'!$B$7),'Price rules'!$B$9)+IF(MOD(INT(F85*'Price rules'!$B$7),'Price rules'!$B$9)&lt;'Price rules'!$B$10,0,'Price rules'!$B$9))</x:f>
        <x:v>110</x:v>
      </x:c>
      <x:c r="I85" s="30" t="n">
        <x:f>IF(F85="","",FLOOR(INT(F85*'Price rules'!$B$8),'Price rules'!$B$9)+IF(MOD(INT(F85*'Price rules'!$B$8),'Price rules'!$B$9)&lt;'Price rules'!$B$10,0,'Price rules'!$B$9))</x:f>
        <x:v>120</x:v>
      </x:c>
      <x:c r="J85" s="30" t="n">
        <x:f>IF(N85="conditional","",SUMIFS($F$5:$F$394,$A$5:$A$394,A85,$C$5:$C$394,C85,$D$5:$D$394,"&lt;="&amp;D85)+SUMIF(Towers!$A$5:$A$30,A85,Towers!$E$5:$E$30))</x:f>
        <x:v>325</x:v>
      </x:c>
      <x:c r="K85" s="30"/>
      <x:c r="L85" s="25" t="str">
        <x:v>slow</x:v>
      </x:c>
      <x:c r="M85" s="25" t="str">
        <x:v>Glues two targets per shot.</x:v>
      </x:c>
      <x:c r="N85" s="25" t="str">
        <x:v>fixed_upgrade_price</x:v>
      </x:c>
      <x:c r="O85" s="30" t="n">
        <x:v>100</x:v>
      </x:c>
      <x:c r="P85" s="25" t="str">
        <x:v>https://raw.githubusercontent.com/Btd6ModHelper/btd6-game-data/main/Towers/GlueGunner/GlueGunner-010.json</x:v>
      </x:c>
      <x:c r="Q85" s="25" t="str">
        <x:v>https://raw.githubusercontent.com/hemisemidemipresent/cyberquincy/master/jsons/costs.json</x:v>
      </x:c>
      <x:c r="R85" s="25" t="str">
        <x:v>https://raw.githubusercontent.com/Btd6ModHelper/btd6-game-data/main/textTable.json</x:v>
      </x:c>
      <x:c r="S85" s="25"/>
      <x:c r="T85" s="25"/>
    </x:row>
    <x:row r="86" ht="64" customHeight="1">
      <x:c r="A86" s="25" t="str">
        <x:v>Glue Gunner</x:v>
      </x:c>
      <x:c r="B86" s="80" t="str">
        <x:v>020</x:v>
      </x:c>
      <x:c r="C86" s="25" t="str">
        <x:v>middle</x:v>
      </x:c>
      <x:c r="D86" s="25" t="n">
        <x:v>2</x:v>
      </x:c>
      <x:c r="E86" s="25" t="str">
        <x:v>Glue Splatter</x:v>
      </x:c>
      <x:c r="F86" s="30" t="n">
        <x:v>970</x:v>
      </x:c>
      <x:c r="G86" s="30" t="n">
        <x:f>IF(F86="","",FLOOR(INT(F86*'Price rules'!$B$5),'Price rules'!$B$9)+IF(MOD(INT(F86*'Price rules'!$B$5),'Price rules'!$B$9)&lt;'Price rules'!$B$10,0,'Price rules'!$B$9))</x:f>
        <x:v>825</x:v>
      </x:c>
      <x:c r="H86" s="30" t="n">
        <x:f>IF(F86="","",FLOOR(INT(F86*'Price rules'!$B$7),'Price rules'!$B$9)+IF(MOD(INT(F86*'Price rules'!$B$7),'Price rules'!$B$9)&lt;'Price rules'!$B$10,0,'Price rules'!$B$9))</x:f>
        <x:v>1045</x:v>
      </x:c>
      <x:c r="I86" s="30" t="n">
        <x:f>IF(F86="","",FLOOR(INT(F86*'Price rules'!$B$8),'Price rules'!$B$9)+IF(MOD(INT(F86*'Price rules'!$B$8),'Price rules'!$B$9)&lt;'Price rules'!$B$10,0,'Price rules'!$B$9))</x:f>
        <x:v>1165</x:v>
      </x:c>
      <x:c r="J86" s="30" t="n">
        <x:f>IF(N86="conditional","",SUMIFS($F$5:$F$394,$A$5:$A$394,A86,$C$5:$C$394,C86,$D$5:$D$394,"&lt;="&amp;D86)+SUMIF(Towers!$A$5:$A$30,A86,Towers!$E$5:$E$30))</x:f>
        <x:v>1295</x:v>
      </x:c>
      <x:c r="K86" s="30"/>
      <x:c r="L86" s="25" t="str">
        <x:v>slow</x:v>
      </x:c>
      <x:c r="M86" s="25" t="str">
        <x:v>Applies glue to a group of up to five targets.</x:v>
      </x:c>
      <x:c r="N86" s="25" t="str">
        <x:v>fixed_upgrade_price</x:v>
      </x:c>
      <x:c r="O86" s="30" t="n">
        <x:v>970</x:v>
      </x:c>
      <x:c r="P86" s="25" t="str">
        <x:v>https://raw.githubusercontent.com/Btd6ModHelper/btd6-game-data/main/Towers/GlueGunner/GlueGunner-020.json</x:v>
      </x:c>
      <x:c r="Q86" s="25" t="str">
        <x:v>https://raw.githubusercontent.com/hemisemidemipresent/cyberquincy/master/jsons/costs.json</x:v>
      </x:c>
      <x:c r="R86" s="25" t="str">
        <x:v>https://raw.githubusercontent.com/Btd6ModHelper/btd6-game-data/main/textTable.json</x:v>
      </x:c>
      <x:c r="S86" s="25"/>
      <x:c r="T86" s="25"/>
    </x:row>
    <x:row r="87" ht="64" customHeight="1">
      <x:c r="A87" s="25" t="str">
        <x:v>Glue Gunner</x:v>
      </x:c>
      <x:c r="B87" s="80" t="str">
        <x:v>030</x:v>
      </x:c>
      <x:c r="C87" s="25" t="str">
        <x:v>middle</x:v>
      </x:c>
      <x:c r="D87" s="25" t="n">
        <x:v>3</x:v>
      </x:c>
      <x:c r="E87" s="25" t="str">
        <x:v>Glue Hose</x:v>
      </x:c>
      <x:c r="F87" s="30" t="n">
        <x:v>1950</x:v>
      </x:c>
      <x:c r="G87" s="30" t="n">
        <x:f>IF(F87="","",FLOOR(INT(F87*'Price rules'!$B$5),'Price rules'!$B$9)+IF(MOD(INT(F87*'Price rules'!$B$5),'Price rules'!$B$9)&lt;'Price rules'!$B$10,0,'Price rules'!$B$9))</x:f>
        <x:v>1655</x:v>
      </x:c>
      <x:c r="H87" s="30" t="n">
        <x:f>IF(F87="","",FLOOR(INT(F87*'Price rules'!$B$7),'Price rules'!$B$9)+IF(MOD(INT(F87*'Price rules'!$B$7),'Price rules'!$B$9)&lt;'Price rules'!$B$10,0,'Price rules'!$B$9))</x:f>
        <x:v>2105</x:v>
      </x:c>
      <x:c r="I87" s="30" t="n">
        <x:f>IF(F87="","",FLOOR(INT(F87*'Price rules'!$B$8),'Price rules'!$B$9)+IF(MOD(INT(F87*'Price rules'!$B$8),'Price rules'!$B$9)&lt;'Price rules'!$B$10,0,'Price rules'!$B$9))</x:f>
        <x:v>2340</x:v>
      </x:c>
      <x:c r="J87" s="30" t="n">
        <x:f>IF(N87="conditional","",SUMIFS($F$5:$F$394,$A$5:$A$394,A87,$C$5:$C$394,C87,$D$5:$D$394,"&lt;="&amp;D87)+SUMIF(Towers!$A$5:$A$30,A87,Towers!$E$5:$E$30))</x:f>
        <x:v>3245</x:v>
      </x:c>
      <x:c r="K87" s="30"/>
      <x:c r="L87" s="25" t="str">
        <x:v>slow</x:v>
      </x:c>
      <x:c r="M87" s="25" t="str">
        <x:v>Greatly increases glue firing speed and coverage.</x:v>
      </x:c>
      <x:c r="N87" s="25" t="str">
        <x:v>fixed_upgrade_price</x:v>
      </x:c>
      <x:c r="O87" s="30" t="n">
        <x:v>1950</x:v>
      </x:c>
      <x:c r="P87" s="25" t="str">
        <x:v>https://raw.githubusercontent.com/Btd6ModHelper/btd6-game-data/main/Towers/GlueGunner/GlueGunner-030.json</x:v>
      </x:c>
      <x:c r="Q87" s="25" t="str">
        <x:v>https://raw.githubusercontent.com/hemisemidemipresent/cyberquincy/master/jsons/costs.json</x:v>
      </x:c>
      <x:c r="R87" s="25" t="str">
        <x:v>https://raw.githubusercontent.com/Btd6ModHelper/btd6-game-data/main/textTable.json</x:v>
      </x:c>
      <x:c r="S87" s="25"/>
      <x:c r="T87" s="25"/>
    </x:row>
    <x:row r="88" ht="64" customHeight="1">
      <x:c r="A88" s="25" t="str">
        <x:v>Glue Gunner</x:v>
      </x:c>
      <x:c r="B88" s="80" t="str">
        <x:v>040</x:v>
      </x:c>
      <x:c r="C88" s="25" t="str">
        <x:v>middle</x:v>
      </x:c>
      <x:c r="D88" s="25" t="n">
        <x:v>4</x:v>
      </x:c>
      <x:c r="E88" s="25" t="str">
        <x:v>Glue Strike</x:v>
      </x:c>
      <x:c r="F88" s="30" t="n">
        <x:v>4000</x:v>
      </x:c>
      <x:c r="G88" s="30" t="n">
        <x:f>IF(F88="","",FLOOR(INT(F88*'Price rules'!$B$5),'Price rules'!$B$9)+IF(MOD(INT(F88*'Price rules'!$B$5),'Price rules'!$B$9)&lt;'Price rules'!$B$10,0,'Price rules'!$B$9))</x:f>
        <x:v>3400</x:v>
      </x:c>
      <x:c r="H88" s="30" t="n">
        <x:f>IF(F88="","",FLOOR(INT(F88*'Price rules'!$B$7),'Price rules'!$B$9)+IF(MOD(INT(F88*'Price rules'!$B$7),'Price rules'!$B$9)&lt;'Price rules'!$B$10,0,'Price rules'!$B$9))</x:f>
        <x:v>4320</x:v>
      </x:c>
      <x:c r="I88" s="30" t="n">
        <x:f>IF(F88="","",FLOOR(INT(F88*'Price rules'!$B$8),'Price rules'!$B$9)+IF(MOD(INT(F88*'Price rules'!$B$8),'Price rules'!$B$9)&lt;'Price rules'!$B$10,0,'Price rules'!$B$9))</x:f>
        <x:v>4800</x:v>
      </x:c>
      <x:c r="J88" s="30" t="n">
        <x:f>IF(N88="conditional","",SUMIFS($F$5:$F$394,$A$5:$A$394,A88,$C$5:$C$394,C88,$D$5:$D$394,"&lt;="&amp;D88)+SUMIF(Towers!$A$5:$A$30,A88,Towers!$E$5:$E$30))</x:f>
        <x:v>7245</x:v>
      </x:c>
      <x:c r="K88" s="30"/>
      <x:c r="L88" s="25" t="str">
        <x:v>support</x:v>
      </x:c>
      <x:c r="M88" s="25" t="str">
        <x:v>Adds a global glue ability that removes Lead immunity and increases damage taken.</x:v>
      </x:c>
      <x:c r="N88" s="25" t="str">
        <x:v>fixed_upgrade_price</x:v>
      </x:c>
      <x:c r="O88" s="30" t="n">
        <x:v>4000</x:v>
      </x:c>
      <x:c r="P88" s="25" t="str">
        <x:v>https://raw.githubusercontent.com/Btd6ModHelper/btd6-game-data/main/Towers/GlueGunner/GlueGunner-040.json</x:v>
      </x:c>
      <x:c r="Q88" s="25" t="str">
        <x:v>https://raw.githubusercontent.com/hemisemidemipresent/cyberquincy/master/jsons/costs.json</x:v>
      </x:c>
      <x:c r="R88" s="25" t="str">
        <x:v>https://raw.githubusercontent.com/Btd6ModHelper/btd6-game-data/main/textTable.json</x:v>
      </x:c>
      <x:c r="S88" s="25"/>
      <x:c r="T88" s="25"/>
    </x:row>
    <x:row r="89" ht="64" customHeight="1">
      <x:c r="A89" s="25" t="str">
        <x:v>Glue Gunner</x:v>
      </x:c>
      <x:c r="B89" s="80" t="str">
        <x:v>050</x:v>
      </x:c>
      <x:c r="C89" s="25" t="str">
        <x:v>middle</x:v>
      </x:c>
      <x:c r="D89" s="25" t="n">
        <x:v>5</x:v>
      </x:c>
      <x:c r="E89" s="25" t="str">
        <x:v>Glue Storm</x:v>
      </x:c>
      <x:c r="F89" s="30" t="n">
        <x:v>16000</x:v>
      </x:c>
      <x:c r="G89" s="30" t="n">
        <x:f>IF(F89="","",FLOOR(INT(F89*'Price rules'!$B$5),'Price rules'!$B$9)+IF(MOD(INT(F89*'Price rules'!$B$5),'Price rules'!$B$9)&lt;'Price rules'!$B$10,0,'Price rules'!$B$9))</x:f>
        <x:v>13600</x:v>
      </x:c>
      <x:c r="H89" s="30" t="n">
        <x:f>IF(F89="","",FLOOR(INT(F89*'Price rules'!$B$7),'Price rules'!$B$9)+IF(MOD(INT(F89*'Price rules'!$B$7),'Price rules'!$B$9)&lt;'Price rules'!$B$10,0,'Price rules'!$B$9))</x:f>
        <x:v>17280</x:v>
      </x:c>
      <x:c r="I89" s="30" t="n">
        <x:f>IF(F89="","",FLOOR(INT(F89*'Price rules'!$B$8),'Price rules'!$B$9)+IF(MOD(INT(F89*'Price rules'!$B$8),'Price rules'!$B$9)&lt;'Price rules'!$B$10,0,'Price rules'!$B$9))</x:f>
        <x:v>19200</x:v>
      </x:c>
      <x:c r="J89" s="30" t="n">
        <x:f>IF(N89="conditional","",SUMIFS($F$5:$F$394,$A$5:$A$394,A89,$C$5:$C$394,C89,$D$5:$D$394,"&lt;="&amp;D89)+SUMIF(Towers!$A$5:$A$30,A89,Towers!$E$5:$E$30))</x:f>
        <x:v>23245</x:v>
      </x:c>
      <x:c r="K89" s="30"/>
      <x:c r="L89" s="25" t="str">
        <x:v>support</x:v>
      </x:c>
      <x:c r="M89" s="25" t="str">
        <x:v>Applies the global glue effect repeatedly for twenty seconds.</x:v>
      </x:c>
      <x:c r="N89" s="25" t="str">
        <x:v>fixed_upgrade_price</x:v>
      </x:c>
      <x:c r="O89" s="30" t="n">
        <x:v>16000</x:v>
      </x:c>
      <x:c r="P89" s="25" t="str">
        <x:v>https://raw.githubusercontent.com/Btd6ModHelper/btd6-game-data/main/Towers/GlueGunner/GlueGunner-050.json</x:v>
      </x:c>
      <x:c r="Q89" s="25" t="str">
        <x:v>https://raw.githubusercontent.com/hemisemidemipresent/cyberquincy/master/jsons/costs.json</x:v>
      </x:c>
      <x:c r="R89" s="25" t="str">
        <x:v>https://raw.githubusercontent.com/Btd6ModHelper/btd6-game-data/main/textTable.json</x:v>
      </x:c>
      <x:c r="S89" s="25"/>
      <x:c r="T89" s="25"/>
    </x:row>
    <x:row r="90" ht="64" customHeight="1">
      <x:c r="A90" s="25" t="str">
        <x:v>Glue Gunner</x:v>
      </x:c>
      <x:c r="B90" s="80" t="str">
        <x:v>001</x:v>
      </x:c>
      <x:c r="C90" s="25" t="str">
        <x:v>bottom</x:v>
      </x:c>
      <x:c r="D90" s="25" t="n">
        <x:v>1</x:v>
      </x:c>
      <x:c r="E90" s="25" t="str">
        <x:v>Stickier Glue</x:v>
      </x:c>
      <x:c r="F90" s="30" t="n">
        <x:v>280</x:v>
      </x:c>
      <x:c r="G90" s="30" t="n">
        <x:f>IF(F90="","",FLOOR(INT(F90*'Price rules'!$B$5),'Price rules'!$B$9)+IF(MOD(INT(F90*'Price rules'!$B$5),'Price rules'!$B$9)&lt;'Price rules'!$B$10,0,'Price rules'!$B$9))</x:f>
        <x:v>240</x:v>
      </x:c>
      <x:c r="H90" s="30" t="n">
        <x:f>IF(F90="","",FLOOR(INT(F90*'Price rules'!$B$7),'Price rules'!$B$9)+IF(MOD(INT(F90*'Price rules'!$B$7),'Price rules'!$B$9)&lt;'Price rules'!$B$10,0,'Price rules'!$B$9))</x:f>
        <x:v>300</x:v>
      </x:c>
      <x:c r="I90" s="30" t="n">
        <x:f>IF(F90="","",FLOOR(INT(F90*'Price rules'!$B$8),'Price rules'!$B$9)+IF(MOD(INT(F90*'Price rules'!$B$8),'Price rules'!$B$9)&lt;'Price rules'!$B$10,0,'Price rules'!$B$9))</x:f>
        <x:v>335</x:v>
      </x:c>
      <x:c r="J90" s="30" t="n">
        <x:f>IF(N90="conditional","",SUMIFS($F$5:$F$394,$A$5:$A$394,A90,$C$5:$C$394,C90,$D$5:$D$394,"&lt;="&amp;D90)+SUMIF(Towers!$A$5:$A$30,A90,Towers!$E$5:$E$30))</x:f>
        <x:v>505</x:v>
      </x:c>
      <x:c r="K90" s="30"/>
      <x:c r="L90" s="25" t="str">
        <x:v>slow</x:v>
      </x:c>
      <x:c r="M90" s="25" t="str">
        <x:v>Extends glue duration.</x:v>
      </x:c>
      <x:c r="N90" s="25" t="str">
        <x:v>fixed_upgrade_price</x:v>
      </x:c>
      <x:c r="O90" s="30" t="n">
        <x:v>280</x:v>
      </x:c>
      <x:c r="P90" s="25" t="str">
        <x:v>https://raw.githubusercontent.com/Btd6ModHelper/btd6-game-data/main/Towers/GlueGunner/GlueGunner-001.json</x:v>
      </x:c>
      <x:c r="Q90" s="25" t="str">
        <x:v>https://raw.githubusercontent.com/hemisemidemipresent/cyberquincy/master/jsons/costs.json</x:v>
      </x:c>
      <x:c r="R90" s="25" t="str">
        <x:v>https://raw.githubusercontent.com/Btd6ModHelper/btd6-game-data/main/textTable.json</x:v>
      </x:c>
      <x:c r="S90" s="25"/>
      <x:c r="T90" s="25"/>
    </x:row>
    <x:row r="91" ht="64" customHeight="1">
      <x:c r="A91" s="25" t="str">
        <x:v>Glue Gunner</x:v>
      </x:c>
      <x:c r="B91" s="80" t="str">
        <x:v>002</x:v>
      </x:c>
      <x:c r="C91" s="25" t="str">
        <x:v>bottom</x:v>
      </x:c>
      <x:c r="D91" s="25" t="n">
        <x:v>2</x:v>
      </x:c>
      <x:c r="E91" s="25" t="str">
        <x:v>Stronger Glue</x:v>
      </x:c>
      <x:c r="F91" s="30" t="n">
        <x:v>400</x:v>
      </x:c>
      <x:c r="G91" s="30" t="n">
        <x:f>IF(F91="","",FLOOR(INT(F91*'Price rules'!$B$5),'Price rules'!$B$9)+IF(MOD(INT(F91*'Price rules'!$B$5),'Price rules'!$B$9)&lt;'Price rules'!$B$10,0,'Price rules'!$B$9))</x:f>
        <x:v>340</x:v>
      </x:c>
      <x:c r="H91" s="30" t="n">
        <x:f>IF(F91="","",FLOOR(INT(F91*'Price rules'!$B$7),'Price rules'!$B$9)+IF(MOD(INT(F91*'Price rules'!$B$7),'Price rules'!$B$9)&lt;'Price rules'!$B$10,0,'Price rules'!$B$9))</x:f>
        <x:v>430</x:v>
      </x:c>
      <x:c r="I91" s="30" t="n">
        <x:f>IF(F91="","",FLOOR(INT(F91*'Price rules'!$B$8),'Price rules'!$B$9)+IF(MOD(INT(F91*'Price rules'!$B$8),'Price rules'!$B$9)&lt;'Price rules'!$B$10,0,'Price rules'!$B$9))</x:f>
        <x:v>480</x:v>
      </x:c>
      <x:c r="J91" s="30" t="n">
        <x:f>IF(N91="conditional","",SUMIFS($F$5:$F$394,$A$5:$A$394,A91,$C$5:$C$394,C91,$D$5:$D$394,"&lt;="&amp;D91)+SUMIF(Towers!$A$5:$A$30,A91,Towers!$E$5:$E$30))</x:f>
        <x:v>905</x:v>
      </x:c>
      <x:c r="K91" s="30"/>
      <x:c r="L91" s="25" t="str">
        <x:v>slow</x:v>
      </x:c>
      <x:c r="M91" s="25" t="str">
        <x:v>Increases the movement-speed reduction.</x:v>
      </x:c>
      <x:c r="N91" s="25" t="str">
        <x:v>fixed_upgrade_price</x:v>
      </x:c>
      <x:c r="O91" s="30" t="n">
        <x:v>400</x:v>
      </x:c>
      <x:c r="P91" s="25" t="str">
        <x:v>https://raw.githubusercontent.com/Btd6ModHelper/btd6-game-data/main/Towers/GlueGunner/GlueGunner-002.json</x:v>
      </x:c>
      <x:c r="Q91" s="25" t="str">
        <x:v>https://raw.githubusercontent.com/hemisemidemipresent/cyberquincy/master/jsons/costs.json</x:v>
      </x:c>
      <x:c r="R91" s="25" t="str">
        <x:v>https://raw.githubusercontent.com/Btd6ModHelper/btd6-game-data/main/textTable.json</x:v>
      </x:c>
      <x:c r="S91" s="25"/>
      <x:c r="T91" s="25"/>
    </x:row>
    <x:row r="92" ht="64" customHeight="1">
      <x:c r="A92" s="25" t="str">
        <x:v>Glue Gunner</x:v>
      </x:c>
      <x:c r="B92" s="80" t="str">
        <x:v>003</x:v>
      </x:c>
      <x:c r="C92" s="25" t="str">
        <x:v>bottom</x:v>
      </x:c>
      <x:c r="D92" s="25" t="n">
        <x:v>3</x:v>
      </x:c>
      <x:c r="E92" s="25" t="str">
        <x:v>MOAB Glue</x:v>
      </x:c>
      <x:c r="F92" s="30" t="n">
        <x:v>3600</x:v>
      </x:c>
      <x:c r="G92" s="30" t="n">
        <x:f>IF(F92="","",FLOOR(INT(F92*'Price rules'!$B$5),'Price rules'!$B$9)+IF(MOD(INT(F92*'Price rules'!$B$5),'Price rules'!$B$9)&lt;'Price rules'!$B$10,0,'Price rules'!$B$9))</x:f>
        <x:v>3060</x:v>
      </x:c>
      <x:c r="H92" s="30" t="n">
        <x:f>IF(F92="","",FLOOR(INT(F92*'Price rules'!$B$7),'Price rules'!$B$9)+IF(MOD(INT(F92*'Price rules'!$B$7),'Price rules'!$B$9)&lt;'Price rules'!$B$10,0,'Price rules'!$B$9))</x:f>
        <x:v>3890</x:v>
      </x:c>
      <x:c r="I92" s="30" t="n">
        <x:f>IF(F92="","",FLOOR(INT(F92*'Price rules'!$B$8),'Price rules'!$B$9)+IF(MOD(INT(F92*'Price rules'!$B$8),'Price rules'!$B$9)&lt;'Price rules'!$B$10,0,'Price rules'!$B$9))</x:f>
        <x:v>4320</x:v>
      </x:c>
      <x:c r="J92" s="30" t="n">
        <x:f>IF(N92="conditional","",SUMIFS($F$5:$F$394,$A$5:$A$394,A92,$C$5:$C$394,C92,$D$5:$D$394,"&lt;="&amp;D92)+SUMIF(Towers!$A$5:$A$30,A92,Towers!$E$5:$E$30))</x:f>
        <x:v>4505</x:v>
      </x:c>
      <x:c r="K92" s="30"/>
      <x:c r="L92" s="25" t="str">
        <x:v>slow</x:v>
      </x:c>
      <x:c r="M92" s="25" t="str">
        <x:v>Allows glue to slow eligible MOAB-class targets.</x:v>
      </x:c>
      <x:c r="N92" s="25" t="str">
        <x:v>fixed_upgrade_price</x:v>
      </x:c>
      <x:c r="O92" s="30" t="n">
        <x:v>3600</x:v>
      </x:c>
      <x:c r="P92" s="25" t="str">
        <x:v>https://raw.githubusercontent.com/Btd6ModHelper/btd6-game-data/main/Towers/GlueGunner/GlueGunner-003.json</x:v>
      </x:c>
      <x:c r="Q92" s="25" t="str">
        <x:v>https://raw.githubusercontent.com/hemisemidemipresent/cyberquincy/master/jsons/costs.json</x:v>
      </x:c>
      <x:c r="R92" s="25" t="str">
        <x:v>https://raw.githubusercontent.com/Btd6ModHelper/btd6-game-data/main/textTable.json</x:v>
      </x:c>
      <x:c r="S92" s="25"/>
      <x:c r="T92" s="25"/>
    </x:row>
    <x:row r="93" ht="64" customHeight="1">
      <x:c r="A93" s="25" t="str">
        <x:v>Glue Gunner</x:v>
      </x:c>
      <x:c r="B93" s="80" t="str">
        <x:v>004</x:v>
      </x:c>
      <x:c r="C93" s="25" t="str">
        <x:v>bottom</x:v>
      </x:c>
      <x:c r="D93" s="25" t="n">
        <x:v>4</x:v>
      </x:c>
      <x:c r="E93" s="25" t="str">
        <x:v>Relentless Glue</x:v>
      </x:c>
      <x:c r="F93" s="30" t="n">
        <x:v>4000</x:v>
      </x:c>
      <x:c r="G93" s="30" t="n">
        <x:f>IF(F93="","",FLOOR(INT(F93*'Price rules'!$B$5),'Price rules'!$B$9)+IF(MOD(INT(F93*'Price rules'!$B$5),'Price rules'!$B$9)&lt;'Price rules'!$B$10,0,'Price rules'!$B$9))</x:f>
        <x:v>3400</x:v>
      </x:c>
      <x:c r="H93" s="30" t="n">
        <x:f>IF(F93="","",FLOOR(INT(F93*'Price rules'!$B$7),'Price rules'!$B$9)+IF(MOD(INT(F93*'Price rules'!$B$7),'Price rules'!$B$9)&lt;'Price rules'!$B$10,0,'Price rules'!$B$9))</x:f>
        <x:v>4320</x:v>
      </x:c>
      <x:c r="I93" s="30" t="n">
        <x:f>IF(F93="","",FLOOR(INT(F93*'Price rules'!$B$8),'Price rules'!$B$9)+IF(MOD(INT(F93*'Price rules'!$B$8),'Price rules'!$B$9)&lt;'Price rules'!$B$10,0,'Price rules'!$B$9))</x:f>
        <x:v>4800</x:v>
      </x:c>
      <x:c r="J93" s="30" t="n">
        <x:f>IF(N93="conditional","",SUMIFS($F$5:$F$394,$A$5:$A$394,A93,$C$5:$C$394,C93,$D$5:$D$394,"&lt;="&amp;D93)+SUMIF(Towers!$A$5:$A$30,A93,Towers!$E$5:$E$30))</x:f>
        <x:v>8505</x:v>
      </x:c>
      <x:c r="K93" s="30"/>
      <x:c r="L93" s="25" t="str">
        <x:v>slow</x:v>
      </x:c>
      <x:c r="M93" s="25" t="str">
        <x:v>Destroying a glued target stuns nearby Bloons.</x:v>
      </x:c>
      <x:c r="N93" s="25" t="str">
        <x:v>fixed_upgrade_price</x:v>
      </x:c>
      <x:c r="O93" s="30" t="n">
        <x:v>4000</x:v>
      </x:c>
      <x:c r="P93" s="25" t="str">
        <x:v>https://raw.githubusercontent.com/Btd6ModHelper/btd6-game-data/main/Towers/GlueGunner/GlueGunner-004.json</x:v>
      </x:c>
      <x:c r="Q93" s="25" t="str">
        <x:v>https://raw.githubusercontent.com/hemisemidemipresent/cyberquincy/master/jsons/costs.json</x:v>
      </x:c>
      <x:c r="R93" s="25" t="str">
        <x:v>https://raw.githubusercontent.com/Btd6ModHelper/btd6-game-data/main/textTable.json</x:v>
      </x:c>
      <x:c r="S93" s="25"/>
      <x:c r="T93" s="25"/>
    </x:row>
    <x:row r="94" ht="64" customHeight="1">
      <x:c r="A94" s="25" t="str">
        <x:v>Glue Gunner</x:v>
      </x:c>
      <x:c r="B94" s="80" t="str">
        <x:v>005</x:v>
      </x:c>
      <x:c r="C94" s="25" t="str">
        <x:v>bottom</x:v>
      </x:c>
      <x:c r="D94" s="25" t="n">
        <x:v>5</x:v>
      </x:c>
      <x:c r="E94" s="25" t="str">
        <x:v>Super Glue</x:v>
      </x:c>
      <x:c r="F94" s="30" t="n">
        <x:v>24000</x:v>
      </x:c>
      <x:c r="G94" s="30" t="n">
        <x:f>IF(F94="","",FLOOR(INT(F94*'Price rules'!$B$5),'Price rules'!$B$9)+IF(MOD(INT(F94*'Price rules'!$B$5),'Price rules'!$B$9)&lt;'Price rules'!$B$10,0,'Price rules'!$B$9))</x:f>
        <x:v>20400</x:v>
      </x:c>
      <x:c r="H94" s="30" t="n">
        <x:f>IF(F94="","",FLOOR(INT(F94*'Price rules'!$B$7),'Price rules'!$B$9)+IF(MOD(INT(F94*'Price rules'!$B$7),'Price rules'!$B$9)&lt;'Price rules'!$B$10,0,'Price rules'!$B$9))</x:f>
        <x:v>25920</x:v>
      </x:c>
      <x:c r="I94" s="30" t="n">
        <x:f>IF(F94="","",FLOOR(INT(F94*'Price rules'!$B$8),'Price rules'!$B$9)+IF(MOD(INT(F94*'Price rules'!$B$8),'Price rules'!$B$9)&lt;'Price rules'!$B$10,0,'Price rules'!$B$9))</x:f>
        <x:v>28800</x:v>
      </x:c>
      <x:c r="J94" s="30" t="n">
        <x:f>IF(N94="conditional","",SUMIFS($F$5:$F$394,$A$5:$A$394,A94,$C$5:$C$394,C94,$D$5:$D$394,"&lt;="&amp;D94)+SUMIF(Towers!$A$5:$A$30,A94,Towers!$E$5:$E$30))</x:f>
        <x:v>32505</x:v>
      </x:c>
      <x:c r="K94" s="30"/>
      <x:c r="L94" s="25" t="str">
        <x:v>slow</x:v>
      </x:c>
      <x:c r="M94" s="25" t="str">
        <x:v>Adds temporary immobilization to affected targets.</x:v>
      </x:c>
      <x:c r="N94" s="25" t="str">
        <x:v>fixed_upgrade_price</x:v>
      </x:c>
      <x:c r="O94" s="30" t="n">
        <x:v>24000</x:v>
      </x:c>
      <x:c r="P94" s="25" t="str">
        <x:v>https://raw.githubusercontent.com/Btd6ModHelper/btd6-game-data/main/Towers/GlueGunner/GlueGunner-005.json</x:v>
      </x:c>
      <x:c r="Q94" s="25" t="str">
        <x:v>https://raw.githubusercontent.com/hemisemidemipresent/cyberquincy/master/jsons/costs.json</x:v>
      </x:c>
      <x:c r="R94" s="25" t="str">
        <x:v>https://raw.githubusercontent.com/Btd6ModHelper/btd6-game-data/main/textTable.json</x:v>
      </x:c>
      <x:c r="S94" s="25"/>
      <x:c r="T94" s="25"/>
    </x:row>
    <x:row r="95" ht="64" customHeight="1">
      <x:c r="A95" s="25" t="str">
        <x:v>Desperado</x:v>
      </x:c>
      <x:c r="B95" s="80" t="str">
        <x:v>100</x:v>
      </x:c>
      <x:c r="C95" s="25" t="str">
        <x:v>top</x:v>
      </x:c>
      <x:c r="D95" s="25" t="n">
        <x:v>1</x:v>
      </x:c>
      <x:c r="E95" s="25" t="str">
        <x:v>Quickdraw</x:v>
      </x:c>
      <x:c r="F95" s="30" t="n">
        <x:v>200</x:v>
      </x:c>
      <x:c r="G95" s="30" t="n">
        <x:f>IF(F95="","",FLOOR(INT(F95*'Price rules'!$B$5),'Price rules'!$B$9)+IF(MOD(INT(F95*'Price rules'!$B$5),'Price rules'!$B$9)&lt;'Price rules'!$B$10,0,'Price rules'!$B$9))</x:f>
        <x:v>170</x:v>
      </x:c>
      <x:c r="H95" s="30" t="n">
        <x:f>IF(F95="","",FLOOR(INT(F95*'Price rules'!$B$7),'Price rules'!$B$9)+IF(MOD(INT(F95*'Price rules'!$B$7),'Price rules'!$B$9)&lt;'Price rules'!$B$10,0,'Price rules'!$B$9))</x:f>
        <x:v>215</x:v>
      </x:c>
      <x:c r="I95" s="30" t="n">
        <x:f>IF(F95="","",FLOOR(INT(F95*'Price rules'!$B$8),'Price rules'!$B$9)+IF(MOD(INT(F95*'Price rules'!$B$8),'Price rules'!$B$9)&lt;'Price rules'!$B$10,0,'Price rules'!$B$9))</x:f>
        <x:v>240</x:v>
      </x:c>
      <x:c r="J95" s="30" t="n">
        <x:f>IF(N95="conditional","",SUMIFS($F$5:$F$394,$A$5:$A$394,A95,$C$5:$C$394,C95,$D$5:$D$394,"&lt;="&amp;D95)+SUMIF(Towers!$A$5:$A$30,A95,Towers!$E$5:$E$30))</x:f>
        <x:v>500</x:v>
      </x:c>
      <x:c r="K95" s="30"/>
      <x:c r="L95" s="25" t="str">
        <x:v>basic_dps</x:v>
      </x:c>
      <x:c r="M95" s="25" t="str">
        <x:v>Increases attack speed against more distant targets.</x:v>
      </x:c>
      <x:c r="N95" s="25" t="str">
        <x:v>fixed_upgrade_price</x:v>
      </x:c>
      <x:c r="O95" s="30" t="n">
        <x:v>200</x:v>
      </x:c>
      <x:c r="P95" s="25" t="str">
        <x:v>https://raw.githubusercontent.com/Btd6ModHelper/btd6-game-data/main/Towers/Desperado/Desperado-100.json</x:v>
      </x:c>
      <x:c r="Q95" s="25" t="str">
        <x:v>https://raw.githubusercontent.com/hemisemidemipresent/cyberquincy/master/jsons/costs.json</x:v>
      </x:c>
      <x:c r="R95" s="25" t="str">
        <x:v>https://raw.githubusercontent.com/Btd6ModHelper/btd6-game-data/main/textTable.json</x:v>
      </x:c>
      <x:c r="S95" s="25"/>
      <x:c r="T95" s="25"/>
    </x:row>
    <x:row r="96" ht="64" customHeight="1">
      <x:c r="A96" s="25" t="str">
        <x:v>Desperado</x:v>
      </x:c>
      <x:c r="B96" s="80" t="str">
        <x:v>200</x:v>
      </x:c>
      <x:c r="C96" s="25" t="str">
        <x:v>top</x:v>
      </x:c>
      <x:c r="D96" s="25" t="n">
        <x:v>2</x:v>
      </x:c>
      <x:c r="E96" s="25" t="str">
        <x:v>Standoff</x:v>
      </x:c>
      <x:c r="F96" s="30" t="n">
        <x:v>200</x:v>
      </x:c>
      <x:c r="G96" s="30" t="n">
        <x:f>IF(F96="","",FLOOR(INT(F96*'Price rules'!$B$5),'Price rules'!$B$9)+IF(MOD(INT(F96*'Price rules'!$B$5),'Price rules'!$B$9)&lt;'Price rules'!$B$10,0,'Price rules'!$B$9))</x:f>
        <x:v>170</x:v>
      </x:c>
      <x:c r="H96" s="30" t="n">
        <x:f>IF(F96="","",FLOOR(INT(F96*'Price rules'!$B$7),'Price rules'!$B$9)+IF(MOD(INT(F96*'Price rules'!$B$7),'Price rules'!$B$9)&lt;'Price rules'!$B$10,0,'Price rules'!$B$9))</x:f>
        <x:v>215</x:v>
      </x:c>
      <x:c r="I96" s="30" t="n">
        <x:f>IF(F96="","",FLOOR(INT(F96*'Price rules'!$B$8),'Price rules'!$B$9)+IF(MOD(INT(F96*'Price rules'!$B$8),'Price rules'!$B$9)&lt;'Price rules'!$B$10,0,'Price rules'!$B$9))</x:f>
        <x:v>240</x:v>
      </x:c>
      <x:c r="J96" s="30" t="n">
        <x:f>IF(N96="conditional","",SUMIFS($F$5:$F$394,$A$5:$A$394,A96,$C$5:$C$394,C96,$D$5:$D$394,"&lt;="&amp;D96)+SUMIF(Towers!$A$5:$A$30,A96,Towers!$E$5:$E$30))</x:f>
        <x:v>700</x:v>
      </x:c>
      <x:c r="K96" s="30"/>
      <x:c r="L96" s="25" t="str">
        <x:v>basic_dps</x:v>
      </x:c>
      <x:c r="M96" s="25" t="str">
        <x:v>Increases attack speed when fewer Bloons are within range.</x:v>
      </x:c>
      <x:c r="N96" s="25" t="str">
        <x:v>fixed_upgrade_price</x:v>
      </x:c>
      <x:c r="O96" s="30" t="n">
        <x:v>200</x:v>
      </x:c>
      <x:c r="P96" s="25" t="str">
        <x:v>https://raw.githubusercontent.com/Btd6ModHelper/btd6-game-data/main/Towers/Desperado/Desperado-200.json</x:v>
      </x:c>
      <x:c r="Q96" s="25" t="str">
        <x:v>https://raw.githubusercontent.com/hemisemidemipresent/cyberquincy/master/jsons/costs.json</x:v>
      </x:c>
      <x:c r="R96" s="25" t="str">
        <x:v>https://raw.githubusercontent.com/Btd6ModHelper/btd6-game-data/main/textTable.json</x:v>
      </x:c>
      <x:c r="S96" s="25"/>
      <x:c r="T96" s="25"/>
    </x:row>
    <x:row r="97" ht="64" customHeight="1">
      <x:c r="A97" s="25" t="str">
        <x:v>Desperado</x:v>
      </x:c>
      <x:c r="B97" s="80" t="str">
        <x:v>300</x:v>
      </x:c>
      <x:c r="C97" s="25" t="str">
        <x:v>top</x:v>
      </x:c>
      <x:c r="D97" s="25" t="n">
        <x:v>3</x:v>
      </x:c>
      <x:c r="E97" s="25" t="str">
        <x:v>Big Iron</x:v>
      </x:c>
      <x:c r="F97" s="30" t="n">
        <x:v>1200</x:v>
      </x:c>
      <x:c r="G97" s="30" t="n">
        <x:f>IF(F97="","",FLOOR(INT(F97*'Price rules'!$B$5),'Price rules'!$B$9)+IF(MOD(INT(F97*'Price rules'!$B$5),'Price rules'!$B$9)&lt;'Price rules'!$B$10,0,'Price rules'!$B$9))</x:f>
        <x:v>1020</x:v>
      </x:c>
      <x:c r="H97" s="30" t="n">
        <x:f>IF(F97="","",FLOOR(INT(F97*'Price rules'!$B$7),'Price rules'!$B$9)+IF(MOD(INT(F97*'Price rules'!$B$7),'Price rules'!$B$9)&lt;'Price rules'!$B$10,0,'Price rules'!$B$9))</x:f>
        <x:v>1295</x:v>
      </x:c>
      <x:c r="I97" s="30" t="n">
        <x:f>IF(F97="","",FLOOR(INT(F97*'Price rules'!$B$8),'Price rules'!$B$9)+IF(MOD(INT(F97*'Price rules'!$B$8),'Price rules'!$B$9)&lt;'Price rules'!$B$10,0,'Price rules'!$B$9))</x:f>
        <x:v>1440</x:v>
      </x:c>
      <x:c r="J97" s="30" t="n">
        <x:f>IF(N97="conditional","",SUMIFS($F$5:$F$394,$A$5:$A$394,A97,$C$5:$C$394,C97,$D$5:$D$394,"&lt;="&amp;D97)+SUMIF(Towers!$A$5:$A$30,A97,Towers!$E$5:$E$30))</x:f>
        <x:v>1900</x:v>
      </x:c>
      <x:c r="K97" s="30"/>
      <x:c r="L97" s="25" t="str">
        <x:v>rapid_fire</x:v>
      </x:c>
      <x:c r="M97" s="25" t="str">
        <x:v>Uses a six-shot revolver, gains Lead popping, and strengthens the low-enemy-count speed bonus.</x:v>
      </x:c>
      <x:c r="N97" s="25" t="str">
        <x:v>fixed_upgrade_price</x:v>
      </x:c>
      <x:c r="O97" s="30" t="n">
        <x:v>1200</x:v>
      </x:c>
      <x:c r="P97" s="25" t="str">
        <x:v>https://raw.githubusercontent.com/Btd6ModHelper/btd6-game-data/main/Towers/Desperado/Desperado-300.json</x:v>
      </x:c>
      <x:c r="Q97" s="25" t="str">
        <x:v>https://raw.githubusercontent.com/hemisemidemipresent/cyberquincy/master/jsons/costs.json</x:v>
      </x:c>
      <x:c r="R97" s="25" t="str">
        <x:v>https://raw.githubusercontent.com/Btd6ModHelper/btd6-game-data/main/textTable.json</x:v>
      </x:c>
      <x:c r="S97" s="25"/>
      <x:c r="T97" s="25"/>
    </x:row>
    <x:row r="98" ht="64" customHeight="1">
      <x:c r="A98" s="25" t="str">
        <x:v>Desperado</x:v>
      </x:c>
      <x:c r="B98" s="80" t="str">
        <x:v>400</x:v>
      </x:c>
      <x:c r="C98" s="25" t="str">
        <x:v>top</x:v>
      </x:c>
      <x:c r="D98" s="25" t="n">
        <x:v>4</x:v>
      </x:c>
      <x:c r="E98" s="25" t="str">
        <x:v>Twin Sixes</x:v>
      </x:c>
      <x:c r="F98" s="30" t="n">
        <x:v>5800</x:v>
      </x:c>
      <x:c r="G98" s="30" t="n">
        <x:f>IF(F98="","",FLOOR(INT(F98*'Price rules'!$B$5),'Price rules'!$B$9)+IF(MOD(INT(F98*'Price rules'!$B$5),'Price rules'!$B$9)&lt;'Price rules'!$B$10,0,'Price rules'!$B$9))</x:f>
        <x:v>4930</x:v>
      </x:c>
      <x:c r="H98" s="30" t="n">
        <x:f>IF(F98="","",FLOOR(INT(F98*'Price rules'!$B$7),'Price rules'!$B$9)+IF(MOD(INT(F98*'Price rules'!$B$7),'Price rules'!$B$9)&lt;'Price rules'!$B$10,0,'Price rules'!$B$9))</x:f>
        <x:v>6265</x:v>
      </x:c>
      <x:c r="I98" s="30" t="n">
        <x:f>IF(F98="","",FLOOR(INT(F98*'Price rules'!$B$8),'Price rules'!$B$9)+IF(MOD(INT(F98*'Price rules'!$B$8),'Price rules'!$B$9)&lt;'Price rules'!$B$10,0,'Price rules'!$B$9))</x:f>
        <x:v>6960</x:v>
      </x:c>
      <x:c r="J98" s="30" t="n">
        <x:f>IF(N98="conditional","",SUMIFS($F$5:$F$394,$A$5:$A$394,A98,$C$5:$C$394,C98,$D$5:$D$394,"&lt;="&amp;D98)+SUMIF(Towers!$A$5:$A$30,A98,Towers!$E$5:$E$30))</x:f>
        <x:v>7700</x:v>
      </x:c>
      <x:c r="K98" s="30"/>
      <x:c r="L98" s="25" t="str">
        <x:v>rapid_fire</x:v>
      </x:c>
      <x:c r="M98" s="25" t="str">
        <x:v>Adds a second revolver and increases damage.</x:v>
      </x:c>
      <x:c r="N98" s="25" t="str">
        <x:v>fixed_upgrade_price</x:v>
      </x:c>
      <x:c r="O98" s="30" t="n">
        <x:v>5800</x:v>
      </x:c>
      <x:c r="P98" s="25" t="str">
        <x:v>https://raw.githubusercontent.com/Btd6ModHelper/btd6-game-data/main/Towers/Desperado/Desperado-400.json</x:v>
      </x:c>
      <x:c r="Q98" s="25" t="str">
        <x:v>https://raw.githubusercontent.com/hemisemidemipresent/cyberquincy/master/jsons/costs.json</x:v>
      </x:c>
      <x:c r="R98" s="25" t="str">
        <x:v>https://raw.githubusercontent.com/Btd6ModHelper/btd6-game-data/main/textTable.json</x:v>
      </x:c>
      <x:c r="S98" s="25"/>
      <x:c r="T98" s="25"/>
    </x:row>
    <x:row r="99" ht="64" customHeight="1">
      <x:c r="A99" s="25" t="str">
        <x:v>Desperado</x:v>
      </x:c>
      <x:c r="B99" s="80" t="str">
        <x:v>500</x:v>
      </x:c>
      <x:c r="C99" s="25" t="str">
        <x:v>top</x:v>
      </x:c>
      <x:c r="D99" s="25" t="n">
        <x:v>5</x:v>
      </x:c>
      <x:c r="E99" s="25" t="str">
        <x:v>The Blazing Sun</x:v>
      </x:c>
      <x:c r="F99" s="30" t="n">
        <x:v>16500</x:v>
      </x:c>
      <x:c r="G99" s="30" t="n">
        <x:f>IF(F99="","",FLOOR(INT(F99*'Price rules'!$B$5),'Price rules'!$B$9)+IF(MOD(INT(F99*'Price rules'!$B$5),'Price rules'!$B$9)&lt;'Price rules'!$B$10,0,'Price rules'!$B$9))</x:f>
        <x:v>14025</x:v>
      </x:c>
      <x:c r="H99" s="30" t="n">
        <x:f>IF(F99="","",FLOOR(INT(F99*'Price rules'!$B$7),'Price rules'!$B$9)+IF(MOD(INT(F99*'Price rules'!$B$7),'Price rules'!$B$9)&lt;'Price rules'!$B$10,0,'Price rules'!$B$9))</x:f>
        <x:v>17820</x:v>
      </x:c>
      <x:c r="I99" s="30" t="n">
        <x:f>IF(F99="","",FLOOR(INT(F99*'Price rules'!$B$8),'Price rules'!$B$9)+IF(MOD(INT(F99*'Price rules'!$B$8),'Price rules'!$B$9)&lt;'Price rules'!$B$10,0,'Price rules'!$B$9))</x:f>
        <x:v>19800</x:v>
      </x:c>
      <x:c r="J99" s="30" t="n">
        <x:f>IF(N99="conditional","",SUMIFS($F$5:$F$394,$A$5:$A$394,A99,$C$5:$C$394,C99,$D$5:$D$394,"&lt;="&amp;D99)+SUMIF(Towers!$A$5:$A$30,A99,Towers!$E$5:$E$30))</x:f>
        <x:v>24200</x:v>
      </x:c>
      <x:c r="K99" s="30"/>
      <x:c r="L99" s="25" t="str">
        <x:v>rapid_fire</x:v>
      </x:c>
      <x:c r="M99" s="25" t="str">
        <x:v>Further upgrades the dual-revolver attack; exact damage mechanics are not normalized here.</x:v>
      </x:c>
      <x:c r="N99" s="25" t="str">
        <x:v>fixed_upgrade_price</x:v>
      </x:c>
      <x:c r="O99" s="30" t="n">
        <x:v>16500</x:v>
      </x:c>
      <x:c r="P99" s="25" t="str">
        <x:v>https://raw.githubusercontent.com/Btd6ModHelper/btd6-game-data/main/Towers/Desperado/Desperado-500.json</x:v>
      </x:c>
      <x:c r="Q99" s="25" t="str">
        <x:v>https://raw.githubusercontent.com/hemisemidemipresent/cyberquincy/master/jsons/costs.json</x:v>
      </x:c>
      <x:c r="R99" s="25" t="str">
        <x:v>https://raw.githubusercontent.com/Btd6ModHelper/btd6-game-data/main/textTable.json</x:v>
      </x:c>
      <x:c r="S99" s="25"/>
      <x:c r="T99" s="25"/>
    </x:row>
    <x:row r="100" ht="64" customHeight="1">
      <x:c r="A100" s="25" t="str">
        <x:v>Desperado</x:v>
      </x:c>
      <x:c r="B100" s="80" t="str">
        <x:v>010</x:v>
      </x:c>
      <x:c r="C100" s="25" t="str">
        <x:v>middle</x:v>
      </x:c>
      <x:c r="D100" s="25" t="n">
        <x:v>1</x:v>
      </x:c>
      <x:c r="E100" s="25" t="str">
        <x:v>Eagle Eye</x:v>
      </x:c>
      <x:c r="F100" s="30" t="n">
        <x:v>150</x:v>
      </x:c>
      <x:c r="G100" s="30" t="n">
        <x:f>IF(F100="","",FLOOR(INT(F100*'Price rules'!$B$5),'Price rules'!$B$9)+IF(MOD(INT(F100*'Price rules'!$B$5),'Price rules'!$B$9)&lt;'Price rules'!$B$10,0,'Price rules'!$B$9))</x:f>
        <x:v>125</x:v>
      </x:c>
      <x:c r="H100" s="30" t="n">
        <x:f>IF(F100="","",FLOOR(INT(F100*'Price rules'!$B$7),'Price rules'!$B$9)+IF(MOD(INT(F100*'Price rules'!$B$7),'Price rules'!$B$9)&lt;'Price rules'!$B$10,0,'Price rules'!$B$9))</x:f>
        <x:v>160</x:v>
      </x:c>
      <x:c r="I100" s="30" t="n">
        <x:f>IF(F100="","",FLOOR(INT(F100*'Price rules'!$B$8),'Price rules'!$B$9)+IF(MOD(INT(F100*'Price rules'!$B$8),'Price rules'!$B$9)&lt;'Price rules'!$B$10,0,'Price rules'!$B$9))</x:f>
        <x:v>180</x:v>
      </x:c>
      <x:c r="J100" s="30" t="n">
        <x:f>IF(N100="conditional","",SUMIFS($F$5:$F$394,$A$5:$A$394,A100,$C$5:$C$394,C100,$D$5:$D$394,"&lt;="&amp;D100)+SUMIF(Towers!$A$5:$A$30,A100,Towers!$E$5:$E$30))</x:f>
        <x:v>450</x:v>
      </x:c>
      <x:c r="K100" s="30"/>
      <x:c r="L100" s="25" t="str">
        <x:v>basic_dps</x:v>
      </x:c>
      <x:c r="M100" s="25" t="str">
        <x:v>Adds Camo detection.</x:v>
      </x:c>
      <x:c r="N100" s="25" t="str">
        <x:v>fixed_upgrade_price</x:v>
      </x:c>
      <x:c r="O100" s="30" t="n">
        <x:v>150</x:v>
      </x:c>
      <x:c r="P100" s="25" t="str">
        <x:v>https://raw.githubusercontent.com/Btd6ModHelper/btd6-game-data/main/Towers/Desperado/Desperado-010.json</x:v>
      </x:c>
      <x:c r="Q100" s="25" t="str">
        <x:v>https://raw.githubusercontent.com/hemisemidemipresent/cyberquincy/master/jsons/costs.json</x:v>
      </x:c>
      <x:c r="R100" s="25" t="str">
        <x:v>https://raw.githubusercontent.com/Btd6ModHelper/btd6-game-data/main/textTable.json</x:v>
      </x:c>
      <x:c r="S100" s="25"/>
      <x:c r="T100" s="25"/>
    </x:row>
    <x:row r="101" ht="64" customHeight="1">
      <x:c r="A101" s="25" t="str">
        <x:v>Desperado</x:v>
      </x:c>
      <x:c r="B101" s="80" t="str">
        <x:v>020</x:v>
      </x:c>
      <x:c r="C101" s="25" t="str">
        <x:v>middle</x:v>
      </x:c>
      <x:c r="D101" s="25" t="n">
        <x:v>2</x:v>
      </x:c>
      <x:c r="E101" s="25" t="str">
        <x:v>Bullseye</x:v>
      </x:c>
      <x:c r="F101" s="30" t="n">
        <x:v>350</x:v>
      </x:c>
      <x:c r="G101" s="30" t="n">
        <x:f>IF(F101="","",FLOOR(INT(F101*'Price rules'!$B$5),'Price rules'!$B$9)+IF(MOD(INT(F101*'Price rules'!$B$5),'Price rules'!$B$9)&lt;'Price rules'!$B$10,0,'Price rules'!$B$9))</x:f>
        <x:v>295</x:v>
      </x:c>
      <x:c r="H101" s="30" t="n">
        <x:f>IF(F101="","",FLOOR(INT(F101*'Price rules'!$B$7),'Price rules'!$B$9)+IF(MOD(INT(F101*'Price rules'!$B$7),'Price rules'!$B$9)&lt;'Price rules'!$B$10,0,'Price rules'!$B$9))</x:f>
        <x:v>380</x:v>
      </x:c>
      <x:c r="I101" s="30" t="n">
        <x:f>IF(F101="","",FLOOR(INT(F101*'Price rules'!$B$8),'Price rules'!$B$9)+IF(MOD(INT(F101*'Price rules'!$B$8),'Price rules'!$B$9)&lt;'Price rules'!$B$10,0,'Price rules'!$B$9))</x:f>
        <x:v>420</x:v>
      </x:c>
      <x:c r="J101" s="30" t="n">
        <x:f>IF(N101="conditional","",SUMIFS($F$5:$F$394,$A$5:$A$394,A101,$C$5:$C$394,C101,$D$5:$D$394,"&lt;="&amp;D101)+SUMIF(Towers!$A$5:$A$30,A101,Towers!$E$5:$E$30))</x:f>
        <x:v>800</x:v>
      </x:c>
      <x:c r="K101" s="30"/>
      <x:c r="L101" s="25" t="str">
        <x:v>basic_dps</x:v>
      </x:c>
      <x:c r="M101" s="25" t="str">
        <x:v>Adds critical hits whose chance increases with target distance.</x:v>
      </x:c>
      <x:c r="N101" s="25" t="str">
        <x:v>fixed_upgrade_price</x:v>
      </x:c>
      <x:c r="O101" s="30" t="n">
        <x:v>350</x:v>
      </x:c>
      <x:c r="P101" s="25" t="str">
        <x:v>https://raw.githubusercontent.com/Btd6ModHelper/btd6-game-data/main/Towers/Desperado/Desperado-020.json</x:v>
      </x:c>
      <x:c r="Q101" s="25" t="str">
        <x:v>https://raw.githubusercontent.com/hemisemidemipresent/cyberquincy/master/jsons/costs.json</x:v>
      </x:c>
      <x:c r="R101" s="25" t="str">
        <x:v>https://raw.githubusercontent.com/Btd6ModHelper/btd6-game-data/main/textTable.json</x:v>
      </x:c>
      <x:c r="S101" s="25"/>
      <x:c r="T101" s="25"/>
    </x:row>
    <x:row r="102" ht="64" customHeight="1">
      <x:c r="A102" s="25" t="str">
        <x:v>Desperado</x:v>
      </x:c>
      <x:c r="B102" s="80" t="str">
        <x:v>030</x:v>
      </x:c>
      <x:c r="C102" s="25" t="str">
        <x:v>middle</x:v>
      </x:c>
      <x:c r="D102" s="25" t="n">
        <x:v>3</x:v>
      </x:c>
      <x:c r="E102" s="25" t="str">
        <x:v>Deadeye</x:v>
      </x:c>
      <x:c r="F102" s="30" t="n">
        <x:v>3000</x:v>
      </x:c>
      <x:c r="G102" s="30" t="n">
        <x:f>IF(F102="","",FLOOR(INT(F102*'Price rules'!$B$5),'Price rules'!$B$9)+IF(MOD(INT(F102*'Price rules'!$B$5),'Price rules'!$B$9)&lt;'Price rules'!$B$10,0,'Price rules'!$B$9))</x:f>
        <x:v>2550</x:v>
      </x:c>
      <x:c r="H102" s="30" t="n">
        <x:f>IF(F102="","",FLOOR(INT(F102*'Price rules'!$B$7),'Price rules'!$B$9)+IF(MOD(INT(F102*'Price rules'!$B$7),'Price rules'!$B$9)&lt;'Price rules'!$B$10,0,'Price rules'!$B$9))</x:f>
        <x:v>3240</x:v>
      </x:c>
      <x:c r="I102" s="30" t="n">
        <x:f>IF(F102="","",FLOOR(INT(F102*'Price rules'!$B$8),'Price rules'!$B$9)+IF(MOD(INT(F102*'Price rules'!$B$8),'Price rules'!$B$9)&lt;'Price rules'!$B$10,0,'Price rules'!$B$9))</x:f>
        <x:v>3600</x:v>
      </x:c>
      <x:c r="J102" s="30" t="n">
        <x:f>IF(N102="conditional","",SUMIFS($F$5:$F$394,$A$5:$A$394,A102,$C$5:$C$394,C102,$D$5:$D$394,"&lt;="&amp;D102)+SUMIF(Towers!$A$5:$A$30,A102,Towers!$E$5:$E$30))</x:f>
        <x:v>3800</x:v>
      </x:c>
      <x:c r="K102" s="30"/>
      <x:c r="L102" s="25" t="str">
        <x:v>sniper</x:v>
      </x:c>
      <x:c r="M102" s="25" t="str">
        <x:v>Adds a long-range, anti-Fortified rifle and the targeted Take Aim support ability.</x:v>
      </x:c>
      <x:c r="N102" s="25" t="str">
        <x:v>fixed_upgrade_price</x:v>
      </x:c>
      <x:c r="O102" s="30" t="n">
        <x:v>3000</x:v>
      </x:c>
      <x:c r="P102" s="25" t="str">
        <x:v>https://raw.githubusercontent.com/Btd6ModHelper/btd6-game-data/main/Towers/Desperado/Desperado-030.json</x:v>
      </x:c>
      <x:c r="Q102" s="25" t="str">
        <x:v>https://raw.githubusercontent.com/hemisemidemipresent/cyberquincy/master/jsons/costs.json</x:v>
      </x:c>
      <x:c r="R102" s="25" t="str">
        <x:v>https://raw.githubusercontent.com/Btd6ModHelper/btd6-game-data/main/textTable.json</x:v>
      </x:c>
      <x:c r="S102" s="25"/>
      <x:c r="T102" s="25"/>
    </x:row>
    <x:row r="103" ht="64" customHeight="1">
      <x:c r="A103" s="25" t="str">
        <x:v>Desperado</x:v>
      </x:c>
      <x:c r="B103" s="80" t="str">
        <x:v>040</x:v>
      </x:c>
      <x:c r="C103" s="25" t="str">
        <x:v>middle</x:v>
      </x:c>
      <x:c r="D103" s="25" t="n">
        <x:v>4</x:v>
      </x:c>
      <x:c r="E103" s="25" t="str">
        <x:v>Bounty Hunter</x:v>
      </x:c>
      <x:c r="F103" s="30" t="n">
        <x:v>6000</x:v>
      </x:c>
      <x:c r="G103" s="30" t="n">
        <x:f>IF(F103="","",FLOOR(INT(F103*'Price rules'!$B$5),'Price rules'!$B$9)+IF(MOD(INT(F103*'Price rules'!$B$5),'Price rules'!$B$9)&lt;'Price rules'!$B$10,0,'Price rules'!$B$9))</x:f>
        <x:v>5100</x:v>
      </x:c>
      <x:c r="H103" s="30" t="n">
        <x:f>IF(F103="","",FLOOR(INT(F103*'Price rules'!$B$7),'Price rules'!$B$9)+IF(MOD(INT(F103*'Price rules'!$B$7),'Price rules'!$B$9)&lt;'Price rules'!$B$10,0,'Price rules'!$B$9))</x:f>
        <x:v>6480</x:v>
      </x:c>
      <x:c r="I103" s="30" t="n">
        <x:f>IF(F103="","",FLOOR(INT(F103*'Price rules'!$B$8),'Price rules'!$B$9)+IF(MOD(INT(F103*'Price rules'!$B$8),'Price rules'!$B$9)&lt;'Price rules'!$B$10,0,'Price rules'!$B$9))</x:f>
        <x:v>7200</x:v>
      </x:c>
      <x:c r="J103" s="30" t="n">
        <x:f>IF(N103="conditional","",SUMIFS($F$5:$F$394,$A$5:$A$394,A103,$C$5:$C$394,C103,$D$5:$D$394,"&lt;="&amp;D103)+SUMIF(Towers!$A$5:$A$30,A103,Towers!$E$5:$E$30))</x:f>
        <x:v>9800</x:v>
      </x:c>
      <x:c r="K103" s="30"/>
      <x:c r="L103" s="25" t="str">
        <x:v>sniper</x:v>
      </x:c>
      <x:c r="M103" s="25" t="str">
        <x:v>Adds Marked to Pop; marked targets take extra damage and yield extra cash.</x:v>
      </x:c>
      <x:c r="N103" s="25" t="str">
        <x:v>fixed_upgrade_price</x:v>
      </x:c>
      <x:c r="O103" s="30" t="n">
        <x:v>6000</x:v>
      </x:c>
      <x:c r="P103" s="25" t="str">
        <x:v>https://raw.githubusercontent.com/Btd6ModHelper/btd6-game-data/main/Towers/Desperado/Desperado-040.json</x:v>
      </x:c>
      <x:c r="Q103" s="25" t="str">
        <x:v>https://raw.githubusercontent.com/hemisemidemipresent/cyberquincy/master/jsons/costs.json</x:v>
      </x:c>
      <x:c r="R103" s="25" t="str">
        <x:v>https://raw.githubusercontent.com/Btd6ModHelper/btd6-game-data/main/textTable.json</x:v>
      </x:c>
      <x:c r="S103" s="25"/>
      <x:c r="T103" s="25"/>
    </x:row>
    <x:row r="104" ht="64" customHeight="1">
      <x:c r="A104" s="25" t="str">
        <x:v>Desperado</x:v>
      </x:c>
      <x:c r="B104" s="80" t="str">
        <x:v>050</x:v>
      </x:c>
      <x:c r="C104" s="25" t="str">
        <x:v>middle</x:v>
      </x:c>
      <x:c r="D104" s="25" t="n">
        <x:v>5</x:v>
      </x:c>
      <x:c r="E104" s="25" t="str">
        <x:v>Golden Justice</x:v>
      </x:c>
      <x:c r="F104" s="30" t="n">
        <x:v>42000</x:v>
      </x:c>
      <x:c r="G104" s="30" t="n">
        <x:f>IF(F104="","",FLOOR(INT(F104*'Price rules'!$B$5),'Price rules'!$B$9)+IF(MOD(INT(F104*'Price rules'!$B$5),'Price rules'!$B$9)&lt;'Price rules'!$B$10,0,'Price rules'!$B$9))</x:f>
        <x:v>35700</x:v>
      </x:c>
      <x:c r="H104" s="30" t="n">
        <x:f>IF(F104="","",FLOOR(INT(F104*'Price rules'!$B$7),'Price rules'!$B$9)+IF(MOD(INT(F104*'Price rules'!$B$7),'Price rules'!$B$9)&lt;'Price rules'!$B$10,0,'Price rules'!$B$9))</x:f>
        <x:v>45360</x:v>
      </x:c>
      <x:c r="I104" s="30" t="n">
        <x:f>IF(F104="","",FLOOR(INT(F104*'Price rules'!$B$8),'Price rules'!$B$9)+IF(MOD(INT(F104*'Price rules'!$B$8),'Price rules'!$B$9)&lt;'Price rules'!$B$10,0,'Price rules'!$B$9))</x:f>
        <x:v>50400</x:v>
      </x:c>
      <x:c r="J104" s="30" t="n">
        <x:f>IF(N104="conditional","",SUMIFS($F$5:$F$394,$A$5:$A$394,A104,$C$5:$C$394,C104,$D$5:$D$394,"&lt;="&amp;D104)+SUMIF(Towers!$A$5:$A$30,A104,Towers!$E$5:$E$30))</x:f>
        <x:v>51800</x:v>
      </x:c>
      <x:c r="K104" s="30"/>
      <x:c r="L104" s="25" t="str">
        <x:v>sniper</x:v>
      </x:c>
      <x:c r="M104" s="25" t="str">
        <x:v>Upgrades the rifle for stronger multi-target damage.</x:v>
      </x:c>
      <x:c r="N104" s="25" t="str">
        <x:v>fixed_upgrade_price</x:v>
      </x:c>
      <x:c r="O104" s="30" t="n">
        <x:v>42000</x:v>
      </x:c>
      <x:c r="P104" s="25" t="str">
        <x:v>https://raw.githubusercontent.com/Btd6ModHelper/btd6-game-data/main/Towers/Desperado/Desperado-050.json</x:v>
      </x:c>
      <x:c r="Q104" s="25" t="str">
        <x:v>https://raw.githubusercontent.com/hemisemidemipresent/cyberquincy/master/jsons/costs.json</x:v>
      </x:c>
      <x:c r="R104" s="25" t="str">
        <x:v>https://raw.githubusercontent.com/Btd6ModHelper/btd6-game-data/main/textTable.json</x:v>
      </x:c>
      <x:c r="S104" s="25"/>
      <x:c r="T104" s="25"/>
    </x:row>
    <x:row r="105" ht="64" customHeight="1">
      <x:c r="A105" s="25" t="str">
        <x:v>Desperado</x:v>
      </x:c>
      <x:c r="B105" s="80" t="str">
        <x:v>001</x:v>
      </x:c>
      <x:c r="C105" s="25" t="str">
        <x:v>bottom</x:v>
      </x:c>
      <x:c r="D105" s="25" t="n">
        <x:v>1</x:v>
      </x:c>
      <x:c r="E105" s="25" t="str">
        <x:v>Wanderer</x:v>
      </x:c>
      <x:c r="F105" s="30" t="n">
        <x:v>220</x:v>
      </x:c>
      <x:c r="G105" s="30" t="n">
        <x:f>IF(F105="","",FLOOR(INT(F105*'Price rules'!$B$5),'Price rules'!$B$9)+IF(MOD(INT(F105*'Price rules'!$B$5),'Price rules'!$B$9)&lt;'Price rules'!$B$10,0,'Price rules'!$B$9))</x:f>
        <x:v>185</x:v>
      </x:c>
      <x:c r="H105" s="30" t="n">
        <x:f>IF(F105="","",FLOOR(INT(F105*'Price rules'!$B$7),'Price rules'!$B$9)+IF(MOD(INT(F105*'Price rules'!$B$7),'Price rules'!$B$9)&lt;'Price rules'!$B$10,0,'Price rules'!$B$9))</x:f>
        <x:v>235</x:v>
      </x:c>
      <x:c r="I105" s="30" t="n">
        <x:f>IF(F105="","",FLOOR(INT(F105*'Price rules'!$B$8),'Price rules'!$B$9)+IF(MOD(INT(F105*'Price rules'!$B$8),'Price rules'!$B$9)&lt;'Price rules'!$B$10,0,'Price rules'!$B$9))</x:f>
        <x:v>265</x:v>
      </x:c>
      <x:c r="J105" s="30" t="n">
        <x:f>IF(N105="conditional","",SUMIFS($F$5:$F$394,$A$5:$A$394,A105,$C$5:$C$394,C105,$D$5:$D$394,"&lt;="&amp;D105)+SUMIF(Towers!$A$5:$A$30,A105,Towers!$E$5:$E$30))</x:f>
        <x:v>520</x:v>
      </x:c>
      <x:c r="K105" s="30"/>
      <x:c r="L105" s="25" t="str">
        <x:v>basic_dps</x:v>
      </x:c>
      <x:c r="M105" s="25" t="str">
        <x:v>Increases attack speed, with a smaller benefit when other Monkeys share the weapon's range.</x:v>
      </x:c>
      <x:c r="N105" s="25" t="str">
        <x:v>fixed_upgrade_price</x:v>
      </x:c>
      <x:c r="O105" s="30" t="n">
        <x:v>220</x:v>
      </x:c>
      <x:c r="P105" s="25" t="str">
        <x:v>https://raw.githubusercontent.com/Btd6ModHelper/btd6-game-data/main/Towers/Desperado/Desperado-001.json</x:v>
      </x:c>
      <x:c r="Q105" s="25" t="str">
        <x:v>https://raw.githubusercontent.com/hemisemidemipresent/cyberquincy/master/jsons/costs.json</x:v>
      </x:c>
      <x:c r="R105" s="25" t="str">
        <x:v>https://raw.githubusercontent.com/Btd6ModHelper/btd6-game-data/main/textTable.json</x:v>
      </x:c>
      <x:c r="S105" s="25"/>
      <x:c r="T105" s="25"/>
    </x:row>
    <x:row r="106" ht="64" customHeight="1">
      <x:c r="A106" s="25" t="str">
        <x:v>Desperado</x:v>
      </x:c>
      <x:c r="B106" s="80" t="str">
        <x:v>002</x:v>
      </x:c>
      <x:c r="C106" s="25" t="str">
        <x:v>bottom</x:v>
      </x:c>
      <x:c r="D106" s="25" t="n">
        <x:v>2</x:v>
      </x:c>
      <x:c r="E106" s="25" t="str">
        <x:v>Nomad</x:v>
      </x:c>
      <x:c r="F106" s="30" t="n">
        <x:v>280</x:v>
      </x:c>
      <x:c r="G106" s="30" t="n">
        <x:f>IF(F106="","",FLOOR(INT(F106*'Price rules'!$B$5),'Price rules'!$B$9)+IF(MOD(INT(F106*'Price rules'!$B$5),'Price rules'!$B$9)&lt;'Price rules'!$B$10,0,'Price rules'!$B$9))</x:f>
        <x:v>240</x:v>
      </x:c>
      <x:c r="H106" s="30" t="n">
        <x:f>IF(F106="","",FLOOR(INT(F106*'Price rules'!$B$7),'Price rules'!$B$9)+IF(MOD(INT(F106*'Price rules'!$B$7),'Price rules'!$B$9)&lt;'Price rules'!$B$10,0,'Price rules'!$B$9))</x:f>
        <x:v>300</x:v>
      </x:c>
      <x:c r="I106" s="30" t="n">
        <x:f>IF(F106="","",FLOOR(INT(F106*'Price rules'!$B$8),'Price rules'!$B$9)+IF(MOD(INT(F106*'Price rules'!$B$8),'Price rules'!$B$9)&lt;'Price rules'!$B$10,0,'Price rules'!$B$9))</x:f>
        <x:v>335</x:v>
      </x:c>
      <x:c r="J106" s="30" t="n">
        <x:f>IF(N106="conditional","",SUMIFS($F$5:$F$394,$A$5:$A$394,A106,$C$5:$C$394,C106,$D$5:$D$394,"&lt;="&amp;D106)+SUMIF(Towers!$A$5:$A$30,A106,Towers!$E$5:$E$30))</x:f>
        <x:v>800</x:v>
      </x:c>
      <x:c r="K106" s="30"/>
      <x:c r="L106" s="25" t="str">
        <x:v>basic_dps</x:v>
      </x:c>
      <x:c r="M106" s="25" t="str">
        <x:v>Gains speed with more targets; losing lives can trigger temporary buffs and leak-related cash.</x:v>
      </x:c>
      <x:c r="N106" s="25" t="str">
        <x:v>fixed_upgrade_price</x:v>
      </x:c>
      <x:c r="O106" s="30" t="n">
        <x:v>280</x:v>
      </x:c>
      <x:c r="P106" s="25" t="str">
        <x:v>https://raw.githubusercontent.com/Btd6ModHelper/btd6-game-data/main/Towers/Desperado/Desperado-002.json</x:v>
      </x:c>
      <x:c r="Q106" s="25" t="str">
        <x:v>https://raw.githubusercontent.com/hemisemidemipresent/cyberquincy/master/jsons/costs.json</x:v>
      </x:c>
      <x:c r="R106" s="25" t="str">
        <x:v>https://raw.githubusercontent.com/Btd6ModHelper/btd6-game-data/main/textTable.json</x:v>
      </x:c>
      <x:c r="S106" s="25"/>
      <x:c r="T106" s="25"/>
    </x:row>
    <x:row r="107" ht="64" customHeight="1">
      <x:c r="A107" s="25" t="str">
        <x:v>Desperado</x:v>
      </x:c>
      <x:c r="B107" s="80" t="str">
        <x:v>003</x:v>
      </x:c>
      <x:c r="C107" s="25" t="str">
        <x:v>bottom</x:v>
      </x:c>
      <x:c r="D107" s="25" t="n">
        <x:v>3</x:v>
      </x:c>
      <x:c r="E107" s="25" t="str">
        <x:v>Enforcer</x:v>
      </x:c>
      <x:c r="F107" s="30" t="n">
        <x:v>2100</x:v>
      </x:c>
      <x:c r="G107" s="30" t="n">
        <x:f>IF(F107="","",FLOOR(INT(F107*'Price rules'!$B$5),'Price rules'!$B$9)+IF(MOD(INT(F107*'Price rules'!$B$5),'Price rules'!$B$9)&lt;'Price rules'!$B$10,0,'Price rules'!$B$9))</x:f>
        <x:v>1785</x:v>
      </x:c>
      <x:c r="H107" s="30" t="n">
        <x:f>IF(F107="","",FLOOR(INT(F107*'Price rules'!$B$7),'Price rules'!$B$9)+IF(MOD(INT(F107*'Price rules'!$B$7),'Price rules'!$B$9)&lt;'Price rules'!$B$10,0,'Price rules'!$B$9))</x:f>
        <x:v>2270</x:v>
      </x:c>
      <x:c r="I107" s="30" t="n">
        <x:f>IF(F107="","",FLOOR(INT(F107*'Price rules'!$B$8),'Price rules'!$B$9)+IF(MOD(INT(F107*'Price rules'!$B$8),'Price rules'!$B$9)&lt;'Price rules'!$B$10,0,'Price rules'!$B$9))</x:f>
        <x:v>2520</x:v>
      </x:c>
      <x:c r="J107" s="30" t="n">
        <x:f>IF(N107="conditional","",SUMIFS($F$5:$F$394,$A$5:$A$394,A107,$C$5:$C$394,C107,$D$5:$D$394,"&lt;="&amp;D107)+SUMIF(Towers!$A$5:$A$30,A107,Towers!$E$5:$E$30))</x:f>
        <x:v>2900</x:v>
      </x:c>
      <x:c r="K107" s="30"/>
      <x:c r="L107" s="25" t="str">
        <x:v>splash</x:v>
      </x:c>
      <x:c r="M107" s="25" t="str">
        <x:v>Adds a close-range shotgun with knockback.</x:v>
      </x:c>
      <x:c r="N107" s="25" t="str">
        <x:v>fixed_upgrade_price</x:v>
      </x:c>
      <x:c r="O107" s="30" t="n">
        <x:v>2100</x:v>
      </x:c>
      <x:c r="P107" s="25" t="str">
        <x:v>https://raw.githubusercontent.com/Btd6ModHelper/btd6-game-data/main/Towers/Desperado/Desperado-003.json</x:v>
      </x:c>
      <x:c r="Q107" s="25" t="str">
        <x:v>https://raw.githubusercontent.com/hemisemidemipresent/cyberquincy/master/jsons/costs.json</x:v>
      </x:c>
      <x:c r="R107" s="25" t="str">
        <x:v>https://raw.githubusercontent.com/Btd6ModHelper/btd6-game-data/main/textTable.json</x:v>
      </x:c>
      <x:c r="S107" s="25"/>
      <x:c r="T107" s="25"/>
    </x:row>
    <x:row r="108" ht="64" customHeight="1">
      <x:c r="A108" s="25" t="str">
        <x:v>Desperado</x:v>
      </x:c>
      <x:c r="B108" s="80" t="str">
        <x:v>004</x:v>
      </x:c>
      <x:c r="C108" s="25" t="str">
        <x:v>bottom</x:v>
      </x:c>
      <x:c r="D108" s="25" t="n">
        <x:v>4</x:v>
      </x:c>
      <x:c r="E108" s="25" t="str">
        <x:v>Avenger</x:v>
      </x:c>
      <x:c r="F108" s="30" t="n">
        <x:v>9500</x:v>
      </x:c>
      <x:c r="G108" s="30" t="n">
        <x:f>IF(F108="","",FLOOR(INT(F108*'Price rules'!$B$5),'Price rules'!$B$9)+IF(MOD(INT(F108*'Price rules'!$B$5),'Price rules'!$B$9)&lt;'Price rules'!$B$10,0,'Price rules'!$B$9))</x:f>
        <x:v>8075</x:v>
      </x:c>
      <x:c r="H108" s="30" t="n">
        <x:f>IF(F108="","",FLOOR(INT(F108*'Price rules'!$B$7),'Price rules'!$B$9)+IF(MOD(INT(F108*'Price rules'!$B$7),'Price rules'!$B$9)&lt;'Price rules'!$B$10,0,'Price rules'!$B$9))</x:f>
        <x:v>10260</x:v>
      </x:c>
      <x:c r="I108" s="30" t="n">
        <x:f>IF(F108="","",FLOOR(INT(F108*'Price rules'!$B$8),'Price rules'!$B$9)+IF(MOD(INT(F108*'Price rules'!$B$8),'Price rules'!$B$9)&lt;'Price rules'!$B$10,0,'Price rules'!$B$9))</x:f>
        <x:v>11400</x:v>
      </x:c>
      <x:c r="J108" s="30" t="n">
        <x:f>IF(N108="conditional","",SUMIFS($F$5:$F$394,$A$5:$A$394,A108,$C$5:$C$394,C108,$D$5:$D$394,"&lt;="&amp;D108)+SUMIF(Towers!$A$5:$A$30,A108,Towers!$E$5:$E$30))</x:f>
        <x:v>12400</x:v>
      </x:c>
      <x:c r="K108" s="30"/>
      <x:c r="L108" s="25" t="str">
        <x:v>splash</x:v>
      </x:c>
      <x:c r="M108" s="25" t="str">
        <x:v>Adds shotgun fragments, MOAB knockback, and a temporary life-loss protection effect.</x:v>
      </x:c>
      <x:c r="N108" s="25" t="str">
        <x:v>fixed_upgrade_price</x:v>
      </x:c>
      <x:c r="O108" s="30" t="n">
        <x:v>9500</x:v>
      </x:c>
      <x:c r="P108" s="25" t="str">
        <x:v>https://raw.githubusercontent.com/Btd6ModHelper/btd6-game-data/main/Towers/Desperado/Desperado-004.json</x:v>
      </x:c>
      <x:c r="Q108" s="25" t="str">
        <x:v>https://raw.githubusercontent.com/hemisemidemipresent/cyberquincy/master/jsons/costs.json</x:v>
      </x:c>
      <x:c r="R108" s="25" t="str">
        <x:v>https://raw.githubusercontent.com/Btd6ModHelper/btd6-game-data/main/textTable.json</x:v>
      </x:c>
      <x:c r="S108" s="25"/>
      <x:c r="T108" s="25"/>
    </x:row>
    <x:row r="109" ht="64" customHeight="1">
      <x:c r="A109" s="25" t="str">
        <x:v>Desperado</x:v>
      </x:c>
      <x:c r="B109" s="80" t="str">
        <x:v>005</x:v>
      </x:c>
      <x:c r="C109" s="25" t="str">
        <x:v>bottom</x:v>
      </x:c>
      <x:c r="D109" s="25" t="n">
        <x:v>5</x:v>
      </x:c>
      <x:c r="E109" s="25" t="str">
        <x:v>The Desert Phantom</x:v>
      </x:c>
      <x:c r="F109" s="30" t="n">
        <x:v>31000</x:v>
      </x:c>
      <x:c r="G109" s="30" t="n">
        <x:f>IF(F109="","",FLOOR(INT(F109*'Price rules'!$B$5),'Price rules'!$B$9)+IF(MOD(INT(F109*'Price rules'!$B$5),'Price rules'!$B$9)&lt;'Price rules'!$B$10,0,'Price rules'!$B$9))</x:f>
        <x:v>26350</x:v>
      </x:c>
      <x:c r="H109" s="30" t="n">
        <x:f>IF(F109="","",FLOOR(INT(F109*'Price rules'!$B$7),'Price rules'!$B$9)+IF(MOD(INT(F109*'Price rules'!$B$7),'Price rules'!$B$9)&lt;'Price rules'!$B$10,0,'Price rules'!$B$9))</x:f>
        <x:v>33480</x:v>
      </x:c>
      <x:c r="I109" s="30" t="n">
        <x:f>IF(F109="","",FLOOR(INT(F109*'Price rules'!$B$8),'Price rules'!$B$9)+IF(MOD(INT(F109*'Price rules'!$B$8),'Price rules'!$B$9)&lt;'Price rules'!$B$10,0,'Price rules'!$B$9))</x:f>
        <x:v>37200</x:v>
      </x:c>
      <x:c r="J109" s="30" t="n">
        <x:f>IF(N109="conditional","",SUMIFS($F$5:$F$394,$A$5:$A$394,A109,$C$5:$C$394,C109,$D$5:$D$394,"&lt;="&amp;D109)+SUMIF(Towers!$A$5:$A$30,A109,Towers!$E$5:$E$30))</x:f>
        <x:v>43400</x:v>
      </x:c>
      <x:c r="K109" s="30"/>
      <x:c r="L109" s="25" t="str">
        <x:v>splash</x:v>
      </x:c>
      <x:c r="M109" s="25" t="str">
        <x:v>Further strengthens the shotgun path; exact secondary attack values are not normalized here.</x:v>
      </x:c>
      <x:c r="N109" s="25" t="str">
        <x:v>fixed_upgrade_price</x:v>
      </x:c>
      <x:c r="O109" s="30" t="n">
        <x:v>31000</x:v>
      </x:c>
      <x:c r="P109" s="25" t="str">
        <x:v>https://raw.githubusercontent.com/Btd6ModHelper/btd6-game-data/main/Towers/Desperado/Desperado-005.json</x:v>
      </x:c>
      <x:c r="Q109" s="25" t="str">
        <x:v>https://raw.githubusercontent.com/hemisemidemipresent/cyberquincy/master/jsons/costs.json</x:v>
      </x:c>
      <x:c r="R109" s="25" t="str">
        <x:v>https://raw.githubusercontent.com/Btd6ModHelper/btd6-game-data/main/textTable.json</x:v>
      </x:c>
      <x:c r="S109" s="25"/>
      <x:c r="T109" s="25"/>
    </x:row>
    <x:row r="110" ht="64" customHeight="1">
      <x:c r="A110" s="25" t="str">
        <x:v>Sniper Monkey</x:v>
      </x:c>
      <x:c r="B110" s="80" t="str">
        <x:v>100</x:v>
      </x:c>
      <x:c r="C110" s="25" t="str">
        <x:v>top</x:v>
      </x:c>
      <x:c r="D110" s="25" t="n">
        <x:v>1</x:v>
      </x:c>
      <x:c r="E110" s="25" t="str">
        <x:v>Full Metal Jacket</x:v>
      </x:c>
      <x:c r="F110" s="30" t="n">
        <x:v>350</x:v>
      </x:c>
      <x:c r="G110" s="30" t="n">
        <x:f>IF(F110="","",FLOOR(INT(F110*'Price rules'!$B$5),'Price rules'!$B$9)+IF(MOD(INT(F110*'Price rules'!$B$5),'Price rules'!$B$9)&lt;'Price rules'!$B$10,0,'Price rules'!$B$9))</x:f>
        <x:v>295</x:v>
      </x:c>
      <x:c r="H110" s="30" t="n">
        <x:f>IF(F110="","",FLOOR(INT(F110*'Price rules'!$B$7),'Price rules'!$B$9)+IF(MOD(INT(F110*'Price rules'!$B$7),'Price rules'!$B$9)&lt;'Price rules'!$B$10,0,'Price rules'!$B$9))</x:f>
        <x:v>380</x:v>
      </x:c>
      <x:c r="I110" s="30" t="n">
        <x:f>IF(F110="","",FLOOR(INT(F110*'Price rules'!$B$8),'Price rules'!$B$9)+IF(MOD(INT(F110*'Price rules'!$B$8),'Price rules'!$B$9)&lt;'Price rules'!$B$10,0,'Price rules'!$B$9))</x:f>
        <x:v>420</x:v>
      </x:c>
      <x:c r="J110" s="30" t="n">
        <x:f>IF(N110="conditional","",SUMIFS($F$5:$F$394,$A$5:$A$394,A110,$C$5:$C$394,C110,$D$5:$D$394,"&lt;="&amp;D110)+SUMIF(Towers!$A$5:$A$30,A110,Towers!$E$5:$E$30))</x:f>
        <x:v>700</x:v>
      </x:c>
      <x:c r="K110" s="30"/>
      <x:c r="L110" s="25" t="str">
        <x:v>sniper</x:v>
      </x:c>
      <x:c r="M110" s="25" t="str">
        <x:v>Raises bullet damage to four and allows bullets and shrapnel to damage Lead and Frozen targets.</x:v>
      </x:c>
      <x:c r="N110" s="25" t="str">
        <x:v>fixed_upgrade_price</x:v>
      </x:c>
      <x:c r="O110" s="30" t="n">
        <x:v>350</x:v>
      </x:c>
      <x:c r="P110" s="25" t="str">
        <x:v>https://raw.githubusercontent.com/Btd6ModHelper/btd6-game-data/main/Towers/SniperMonkey/SniperMonkey-100.json</x:v>
      </x:c>
      <x:c r="Q110" s="25" t="str">
        <x:v>https://raw.githubusercontent.com/hemisemidemipresent/cyberquincy/master/jsons/costs.json</x:v>
      </x:c>
      <x:c r="R110" s="25" t="str">
        <x:v>https://raw.githubusercontent.com/Btd6ModHelper/btd6-game-data/main/textTable.json</x:v>
      </x:c>
      <x:c r="S110" s="25"/>
      <x:c r="T110" s="25"/>
    </x:row>
    <x:row r="111" ht="64" customHeight="1">
      <x:c r="A111" s="25" t="str">
        <x:v>Sniper Monkey</x:v>
      </x:c>
      <x:c r="B111" s="80" t="str">
        <x:v>200</x:v>
      </x:c>
      <x:c r="C111" s="25" t="str">
        <x:v>top</x:v>
      </x:c>
      <x:c r="D111" s="25" t="n">
        <x:v>2</x:v>
      </x:c>
      <x:c r="E111" s="25" t="str">
        <x:v>Large Calibre</x:v>
      </x:c>
      <x:c r="F111" s="30" t="n">
        <x:v>1300</x:v>
      </x:c>
      <x:c r="G111" s="30" t="n">
        <x:f>IF(F111="","",FLOOR(INT(F111*'Price rules'!$B$5),'Price rules'!$B$9)+IF(MOD(INT(F111*'Price rules'!$B$5),'Price rules'!$B$9)&lt;'Price rules'!$B$10,0,'Price rules'!$B$9))</x:f>
        <x:v>1105</x:v>
      </x:c>
      <x:c r="H111" s="30" t="n">
        <x:f>IF(F111="","",FLOOR(INT(F111*'Price rules'!$B$7),'Price rules'!$B$9)+IF(MOD(INT(F111*'Price rules'!$B$7),'Price rules'!$B$9)&lt;'Price rules'!$B$10,0,'Price rules'!$B$9))</x:f>
        <x:v>1405</x:v>
      </x:c>
      <x:c r="I111" s="30" t="n">
        <x:f>IF(F111="","",FLOOR(INT(F111*'Price rules'!$B$8),'Price rules'!$B$9)+IF(MOD(INT(F111*'Price rules'!$B$8),'Price rules'!$B$9)&lt;'Price rules'!$B$10,0,'Price rules'!$B$9))</x:f>
        <x:v>1560</x:v>
      </x:c>
      <x:c r="J111" s="30" t="n">
        <x:f>IF(N111="conditional","",SUMIFS($F$5:$F$394,$A$5:$A$394,A111,$C$5:$C$394,C111,$D$5:$D$394,"&lt;="&amp;D111)+SUMIF(Towers!$A$5:$A$30,A111,Towers!$E$5:$E$30))</x:f>
        <x:v>2000</x:v>
      </x:c>
      <x:c r="K111" s="30"/>
      <x:c r="L111" s="25" t="str">
        <x:v>sniper</x:v>
      </x:c>
      <x:c r="M111" s="25" t="str">
        <x:v>Raises bullet damage to seven.</x:v>
      </x:c>
      <x:c r="N111" s="25" t="str">
        <x:v>fixed_upgrade_price</x:v>
      </x:c>
      <x:c r="O111" s="30" t="n">
        <x:v>1300</x:v>
      </x:c>
      <x:c r="P111" s="25" t="str">
        <x:v>https://raw.githubusercontent.com/Btd6ModHelper/btd6-game-data/main/Towers/SniperMonkey/SniperMonkey-200.json</x:v>
      </x:c>
      <x:c r="Q111" s="25" t="str">
        <x:v>https://raw.githubusercontent.com/hemisemidemipresent/cyberquincy/master/jsons/costs.json</x:v>
      </x:c>
      <x:c r="R111" s="25" t="str">
        <x:v>https://raw.githubusercontent.com/Btd6ModHelper/btd6-game-data/main/textTable.json</x:v>
      </x:c>
      <x:c r="S111" s="25"/>
      <x:c r="T111" s="25"/>
    </x:row>
    <x:row r="112" ht="64" customHeight="1">
      <x:c r="A112" s="25" t="str">
        <x:v>Sniper Monkey</x:v>
      </x:c>
      <x:c r="B112" s="80" t="str">
        <x:v>300</x:v>
      </x:c>
      <x:c r="C112" s="25" t="str">
        <x:v>top</x:v>
      </x:c>
      <x:c r="D112" s="25" t="n">
        <x:v>3</x:v>
      </x:c>
      <x:c r="E112" s="25" t="str">
        <x:v>Deadly Precision</x:v>
      </x:c>
      <x:c r="F112" s="30" t="n">
        <x:v>2200</x:v>
      </x:c>
      <x:c r="G112" s="30" t="n">
        <x:f>IF(F112="","",FLOOR(INT(F112*'Price rules'!$B$5),'Price rules'!$B$9)+IF(MOD(INT(F112*'Price rules'!$B$5),'Price rules'!$B$9)&lt;'Price rules'!$B$10,0,'Price rules'!$B$9))</x:f>
        <x:v>1870</x:v>
      </x:c>
      <x:c r="H112" s="30" t="n">
        <x:f>IF(F112="","",FLOOR(INT(F112*'Price rules'!$B$7),'Price rules'!$B$9)+IF(MOD(INT(F112*'Price rules'!$B$7),'Price rules'!$B$9)&lt;'Price rules'!$B$10,0,'Price rules'!$B$9))</x:f>
        <x:v>2375</x:v>
      </x:c>
      <x:c r="I112" s="30" t="n">
        <x:f>IF(F112="","",FLOOR(INT(F112*'Price rules'!$B$8),'Price rules'!$B$9)+IF(MOD(INT(F112*'Price rules'!$B$8),'Price rules'!$B$9)&lt;'Price rules'!$B$10,0,'Price rules'!$B$9))</x:f>
        <x:v>2640</x:v>
      </x:c>
      <x:c r="J112" s="30" t="n">
        <x:f>IF(N112="conditional","",SUMIFS($F$5:$F$394,$A$5:$A$394,A112,$C$5:$C$394,C112,$D$5:$D$394,"&lt;="&amp;D112)+SUMIF(Towers!$A$5:$A$30,A112,Towers!$E$5:$E$30))</x:f>
        <x:v>4200</x:v>
      </x:c>
      <x:c r="K112" s="30"/>
      <x:c r="L112" s="25" t="str">
        <x:v>tank_killer</x:v>
      </x:c>
      <x:c r="M112" s="25" t="str">
        <x:v>Raises bullet damage to twenty and adds Ceramic damage.</x:v>
      </x:c>
      <x:c r="N112" s="25" t="str">
        <x:v>fixed_upgrade_price</x:v>
      </x:c>
      <x:c r="O112" s="30" t="n">
        <x:v>2200</x:v>
      </x:c>
      <x:c r="P112" s="25" t="str">
        <x:v>https://raw.githubusercontent.com/Btd6ModHelper/btd6-game-data/main/Towers/SniperMonkey/SniperMonkey-300.json</x:v>
      </x:c>
      <x:c r="Q112" s="25" t="str">
        <x:v>https://raw.githubusercontent.com/hemisemidemipresent/cyberquincy/master/jsons/costs.json</x:v>
      </x:c>
      <x:c r="R112" s="25" t="str">
        <x:v>https://raw.githubusercontent.com/Btd6ModHelper/btd6-game-data/main/textTable.json</x:v>
      </x:c>
      <x:c r="S112" s="25"/>
      <x:c r="T112" s="25"/>
    </x:row>
    <x:row r="113" ht="64" customHeight="1">
      <x:c r="A113" s="25" t="str">
        <x:v>Sniper Monkey</x:v>
      </x:c>
      <x:c r="B113" s="80" t="str">
        <x:v>400</x:v>
      </x:c>
      <x:c r="C113" s="25" t="str">
        <x:v>top</x:v>
      </x:c>
      <x:c r="D113" s="25" t="n">
        <x:v>4</x:v>
      </x:c>
      <x:c r="E113" s="25" t="str">
        <x:v>Maim MOAB</x:v>
      </x:c>
      <x:c r="F113" s="30" t="n">
        <x:v>6300</x:v>
      </x:c>
      <x:c r="G113" s="30" t="n">
        <x:f>IF(F113="","",FLOOR(INT(F113*'Price rules'!$B$5),'Price rules'!$B$9)+IF(MOD(INT(F113*'Price rules'!$B$5),'Price rules'!$B$9)&lt;'Price rules'!$B$10,0,'Price rules'!$B$9))</x:f>
        <x:v>5355</x:v>
      </x:c>
      <x:c r="H113" s="30" t="n">
        <x:f>IF(F113="","",FLOOR(INT(F113*'Price rules'!$B$7),'Price rules'!$B$9)+IF(MOD(INT(F113*'Price rules'!$B$7),'Price rules'!$B$9)&lt;'Price rules'!$B$10,0,'Price rules'!$B$9))</x:f>
        <x:v>6805</x:v>
      </x:c>
      <x:c r="I113" s="30" t="n">
        <x:f>IF(F113="","",FLOOR(INT(F113*'Price rules'!$B$8),'Price rules'!$B$9)+IF(MOD(INT(F113*'Price rules'!$B$8),'Price rules'!$B$9)&lt;'Price rules'!$B$10,0,'Price rules'!$B$9))</x:f>
        <x:v>7560</x:v>
      </x:c>
      <x:c r="J113" s="30" t="n">
        <x:f>IF(N113="conditional","",SUMIFS($F$5:$F$394,$A$5:$A$394,A113,$C$5:$C$394,C113,$D$5:$D$394,"&lt;="&amp;D113)+SUMIF(Towers!$A$5:$A$30,A113,Towers!$E$5:$E$30))</x:f>
        <x:v>10500</x:v>
      </x:c>
      <x:c r="K113" s="30"/>
      <x:c r="L113" s="25" t="str">
        <x:v>status</x:v>
      </x:c>
      <x:c r="M113" s="25" t="str">
        <x:v>Adds high damage and temporary MOAB-class immobilization.</x:v>
      </x:c>
      <x:c r="N113" s="25" t="str">
        <x:v>fixed_upgrade_price</x:v>
      </x:c>
      <x:c r="O113" s="30" t="n">
        <x:v>6300</x:v>
      </x:c>
      <x:c r="P113" s="25" t="str">
        <x:v>https://raw.githubusercontent.com/Btd6ModHelper/btd6-game-data/main/Towers/SniperMonkey/SniperMonkey-400.json</x:v>
      </x:c>
      <x:c r="Q113" s="25" t="str">
        <x:v>https://raw.githubusercontent.com/hemisemidemipresent/cyberquincy/master/jsons/costs.json</x:v>
      </x:c>
      <x:c r="R113" s="25" t="str">
        <x:v>https://raw.githubusercontent.com/Btd6ModHelper/btd6-game-data/main/textTable.json</x:v>
      </x:c>
      <x:c r="S113" s="25"/>
      <x:c r="T113" s="25"/>
    </x:row>
    <x:row r="114" ht="64" customHeight="1">
      <x:c r="A114" s="25" t="str">
        <x:v>Sniper Monkey</x:v>
      </x:c>
      <x:c r="B114" s="80" t="str">
        <x:v>500</x:v>
      </x:c>
      <x:c r="C114" s="25" t="str">
        <x:v>top</x:v>
      </x:c>
      <x:c r="D114" s="25" t="n">
        <x:v>5</x:v>
      </x:c>
      <x:c r="E114" s="25" t="str">
        <x:v>Cripple MOAB</x:v>
      </x:c>
      <x:c r="F114" s="30" t="n">
        <x:v>32000</x:v>
      </x:c>
      <x:c r="G114" s="30" t="n">
        <x:f>IF(F114="","",FLOOR(INT(F114*'Price rules'!$B$5),'Price rules'!$B$9)+IF(MOD(INT(F114*'Price rules'!$B$5),'Price rules'!$B$9)&lt;'Price rules'!$B$10,0,'Price rules'!$B$9))</x:f>
        <x:v>27200</x:v>
      </x:c>
      <x:c r="H114" s="30" t="n">
        <x:f>IF(F114="","",FLOOR(INT(F114*'Price rules'!$B$7),'Price rules'!$B$9)+IF(MOD(INT(F114*'Price rules'!$B$7),'Price rules'!$B$9)&lt;'Price rules'!$B$10,0,'Price rules'!$B$9))</x:f>
        <x:v>34560</x:v>
      </x:c>
      <x:c r="I114" s="30" t="n">
        <x:f>IF(F114="","",FLOOR(INT(F114*'Price rules'!$B$8),'Price rules'!$B$9)+IF(MOD(INT(F114*'Price rules'!$B$8),'Price rules'!$B$9)&lt;'Price rules'!$B$10,0,'Price rules'!$B$9))</x:f>
        <x:v>38400</x:v>
      </x:c>
      <x:c r="J114" s="30" t="n">
        <x:f>IF(N114="conditional","",SUMIFS($F$5:$F$394,$A$5:$A$394,A114,$C$5:$C$394,C114,$D$5:$D$394,"&lt;="&amp;D114)+SUMIF(Towers!$A$5:$A$30,A114,Towers!$E$5:$E$30))</x:f>
        <x:v>42500</x:v>
      </x:c>
      <x:c r="K114" s="30"/>
      <x:c r="L114" s="25" t="str">
        <x:v>status</x:v>
      </x:c>
      <x:c r="M114" s="25" t="str">
        <x:v>Extends immobilization and makes affected MOAB-class targets take extra damage.</x:v>
      </x:c>
      <x:c r="N114" s="25" t="str">
        <x:v>fixed_upgrade_price</x:v>
      </x:c>
      <x:c r="O114" s="30" t="n">
        <x:v>32000</x:v>
      </x:c>
      <x:c r="P114" s="25" t="str">
        <x:v>https://raw.githubusercontent.com/Btd6ModHelper/btd6-game-data/main/Towers/SniperMonkey/SniperMonkey-500.json</x:v>
      </x:c>
      <x:c r="Q114" s="25" t="str">
        <x:v>https://raw.githubusercontent.com/hemisemidemipresent/cyberquincy/master/jsons/costs.json</x:v>
      </x:c>
      <x:c r="R114" s="25" t="str">
        <x:v>https://raw.githubusercontent.com/Btd6ModHelper/btd6-game-data/main/textTable.json</x:v>
      </x:c>
      <x:c r="S114" s="25"/>
      <x:c r="T114" s="25"/>
    </x:row>
    <x:row r="115" ht="64" customHeight="1">
      <x:c r="A115" s="25" t="str">
        <x:v>Sniper Monkey</x:v>
      </x:c>
      <x:c r="B115" s="80" t="str">
        <x:v>010</x:v>
      </x:c>
      <x:c r="C115" s="25" t="str">
        <x:v>middle</x:v>
      </x:c>
      <x:c r="D115" s="25" t="n">
        <x:v>1</x:v>
      </x:c>
      <x:c r="E115" s="25" t="str">
        <x:v>Night Vision Goggles</x:v>
      </x:c>
      <x:c r="F115" s="30" t="n">
        <x:v>250</x:v>
      </x:c>
      <x:c r="G115" s="30" t="n">
        <x:f>IF(F115="","",FLOOR(INT(F115*'Price rules'!$B$5),'Price rules'!$B$9)+IF(MOD(INT(F115*'Price rules'!$B$5),'Price rules'!$B$9)&lt;'Price rules'!$B$10,0,'Price rules'!$B$9))</x:f>
        <x:v>210</x:v>
      </x:c>
      <x:c r="H115" s="30" t="n">
        <x:f>IF(F115="","",FLOOR(INT(F115*'Price rules'!$B$7),'Price rules'!$B$9)+IF(MOD(INT(F115*'Price rules'!$B$7),'Price rules'!$B$9)&lt;'Price rules'!$B$10,0,'Price rules'!$B$9))</x:f>
        <x:v>270</x:v>
      </x:c>
      <x:c r="I115" s="30" t="n">
        <x:f>IF(F115="","",FLOOR(INT(F115*'Price rules'!$B$8),'Price rules'!$B$9)+IF(MOD(INT(F115*'Price rules'!$B$8),'Price rules'!$B$9)&lt;'Price rules'!$B$10,0,'Price rules'!$B$9))</x:f>
        <x:v>300</x:v>
      </x:c>
      <x:c r="J115" s="30" t="n">
        <x:f>IF(N115="conditional","",SUMIFS($F$5:$F$394,$A$5:$A$394,A115,$C$5:$C$394,C115,$D$5:$D$394,"&lt;="&amp;D115)+SUMIF(Towers!$A$5:$A$30,A115,Towers!$E$5:$E$30))</x:f>
        <x:v>600</x:v>
      </x:c>
      <x:c r="K115" s="30"/>
      <x:c r="L115" s="25" t="str">
        <x:v>sniper</x:v>
      </x:c>
      <x:c r="M115" s="25" t="str">
        <x:v>Adds Camo detection and two bonus damage against Camo targets.</x:v>
      </x:c>
      <x:c r="N115" s="25" t="str">
        <x:v>fixed_upgrade_price</x:v>
      </x:c>
      <x:c r="O115" s="30" t="n">
        <x:v>250</x:v>
      </x:c>
      <x:c r="P115" s="25" t="str">
        <x:v>https://raw.githubusercontent.com/Btd6ModHelper/btd6-game-data/main/Towers/SniperMonkey/SniperMonkey-010.json</x:v>
      </x:c>
      <x:c r="Q115" s="25" t="str">
        <x:v>https://raw.githubusercontent.com/hemisemidemipresent/cyberquincy/master/jsons/costs.json</x:v>
      </x:c>
      <x:c r="R115" s="25" t="str">
        <x:v>https://raw.githubusercontent.com/Btd6ModHelper/btd6-game-data/main/textTable.json</x:v>
      </x:c>
      <x:c r="S115" s="25"/>
      <x:c r="T115" s="25"/>
    </x:row>
    <x:row r="116" ht="64" customHeight="1">
      <x:c r="A116" s="25" t="str">
        <x:v>Sniper Monkey</x:v>
      </x:c>
      <x:c r="B116" s="80" t="str">
        <x:v>020</x:v>
      </x:c>
      <x:c r="C116" s="25" t="str">
        <x:v>middle</x:v>
      </x:c>
      <x:c r="D116" s="25" t="n">
        <x:v>2</x:v>
      </x:c>
      <x:c r="E116" s="25" t="str">
        <x:v>Shrapnel Shot</x:v>
      </x:c>
      <x:c r="F116" s="30" t="n">
        <x:v>450</x:v>
      </x:c>
      <x:c r="G116" s="30" t="n">
        <x:f>IF(F116="","",FLOOR(INT(F116*'Price rules'!$B$5),'Price rules'!$B$9)+IF(MOD(INT(F116*'Price rules'!$B$5),'Price rules'!$B$9)&lt;'Price rules'!$B$10,0,'Price rules'!$B$9))</x:f>
        <x:v>380</x:v>
      </x:c>
      <x:c r="H116" s="30" t="n">
        <x:f>IF(F116="","",FLOOR(INT(F116*'Price rules'!$B$7),'Price rules'!$B$9)+IF(MOD(INT(F116*'Price rules'!$B$7),'Price rules'!$B$9)&lt;'Price rules'!$B$10,0,'Price rules'!$B$9))</x:f>
        <x:v>485</x:v>
      </x:c>
      <x:c r="I116" s="30" t="n">
        <x:f>IF(F116="","",FLOOR(INT(F116*'Price rules'!$B$8),'Price rules'!$B$9)+IF(MOD(INT(F116*'Price rules'!$B$8),'Price rules'!$B$9)&lt;'Price rules'!$B$10,0,'Price rules'!$B$9))</x:f>
        <x:v>540</x:v>
      </x:c>
      <x:c r="J116" s="30" t="n">
        <x:f>IF(N116="conditional","",SUMIFS($F$5:$F$394,$A$5:$A$394,A116,$C$5:$C$394,C116,$D$5:$D$394,"&lt;="&amp;D116)+SUMIF(Towers!$A$5:$A$30,A116,Towers!$E$5:$E$30))</x:f>
        <x:v>1050</x:v>
      </x:c>
      <x:c r="K116" s="30"/>
      <x:c r="L116" s="25" t="str">
        <x:v>sniper</x:v>
      </x:c>
      <x:c r="M116" s="25" t="str">
        <x:v>Hits release a cone of damaging shrapnel.</x:v>
      </x:c>
      <x:c r="N116" s="25" t="str">
        <x:v>fixed_upgrade_price</x:v>
      </x:c>
      <x:c r="O116" s="30" t="n">
        <x:v>450</x:v>
      </x:c>
      <x:c r="P116" s="25" t="str">
        <x:v>https://raw.githubusercontent.com/Btd6ModHelper/btd6-game-data/main/Towers/SniperMonkey/SniperMonkey-020.json</x:v>
      </x:c>
      <x:c r="Q116" s="25" t="str">
        <x:v>https://raw.githubusercontent.com/hemisemidemipresent/cyberquincy/master/jsons/costs.json</x:v>
      </x:c>
      <x:c r="R116" s="25" t="str">
        <x:v>https://raw.githubusercontent.com/Btd6ModHelper/btd6-game-data/main/textTable.json</x:v>
      </x:c>
      <x:c r="S116" s="25"/>
      <x:c r="T116" s="25"/>
    </x:row>
    <x:row r="117" ht="64" customHeight="1">
      <x:c r="A117" s="25" t="str">
        <x:v>Sniper Monkey</x:v>
      </x:c>
      <x:c r="B117" s="80" t="str">
        <x:v>030</x:v>
      </x:c>
      <x:c r="C117" s="25" t="str">
        <x:v>middle</x:v>
      </x:c>
      <x:c r="D117" s="25" t="n">
        <x:v>3</x:v>
      </x:c>
      <x:c r="E117" s="25" t="str">
        <x:v>Bouncing Bullet</x:v>
      </x:c>
      <x:c r="F117" s="30" t="n">
        <x:v>2100</x:v>
      </x:c>
      <x:c r="G117" s="30" t="n">
        <x:f>IF(F117="","",FLOOR(INT(F117*'Price rules'!$B$5),'Price rules'!$B$9)+IF(MOD(INT(F117*'Price rules'!$B$5),'Price rules'!$B$9)&lt;'Price rules'!$B$10,0,'Price rules'!$B$9))</x:f>
        <x:v>1785</x:v>
      </x:c>
      <x:c r="H117" s="30" t="n">
        <x:f>IF(F117="","",FLOOR(INT(F117*'Price rules'!$B$7),'Price rules'!$B$9)+IF(MOD(INT(F117*'Price rules'!$B$7),'Price rules'!$B$9)&lt;'Price rules'!$B$10,0,'Price rules'!$B$9))</x:f>
        <x:v>2270</x:v>
      </x:c>
      <x:c r="I117" s="30" t="n">
        <x:f>IF(F117="","",FLOOR(INT(F117*'Price rules'!$B$8),'Price rules'!$B$9)+IF(MOD(INT(F117*'Price rules'!$B$8),'Price rules'!$B$9)&lt;'Price rules'!$B$10,0,'Price rules'!$B$9))</x:f>
        <x:v>2520</x:v>
      </x:c>
      <x:c r="J117" s="30" t="n">
        <x:f>IF(N117="conditional","",SUMIFS($F$5:$F$394,$A$5:$A$394,A117,$C$5:$C$394,C117,$D$5:$D$394,"&lt;="&amp;D117)+SUMIF(Towers!$A$5:$A$30,A117,Towers!$E$5:$E$30))</x:f>
        <x:v>3150</x:v>
      </x:c>
      <x:c r="K117" s="30"/>
      <x:c r="L117" s="25" t="str">
        <x:v>splash</x:v>
      </x:c>
      <x:c r="M117" s="25" t="str">
        <x:v>Bullets can bounce to two additional targets.</x:v>
      </x:c>
      <x:c r="N117" s="25" t="str">
        <x:v>fixed_upgrade_price</x:v>
      </x:c>
      <x:c r="O117" s="30" t="n">
        <x:v>2100</x:v>
      </x:c>
      <x:c r="P117" s="25" t="str">
        <x:v>https://raw.githubusercontent.com/Btd6ModHelper/btd6-game-data/main/Towers/SniperMonkey/SniperMonkey-030.json</x:v>
      </x:c>
      <x:c r="Q117" s="25" t="str">
        <x:v>https://raw.githubusercontent.com/hemisemidemipresent/cyberquincy/master/jsons/costs.json</x:v>
      </x:c>
      <x:c r="R117" s="25" t="str">
        <x:v>https://raw.githubusercontent.com/Btd6ModHelper/btd6-game-data/main/textTable.json</x:v>
      </x:c>
      <x:c r="S117" s="25"/>
      <x:c r="T117" s="25"/>
    </x:row>
    <x:row r="118" ht="64" customHeight="1">
      <x:c r="A118" s="25" t="str">
        <x:v>Sniper Monkey</x:v>
      </x:c>
      <x:c r="B118" s="80" t="str">
        <x:v>040</x:v>
      </x:c>
      <x:c r="C118" s="25" t="str">
        <x:v>middle</x:v>
      </x:c>
      <x:c r="D118" s="25" t="n">
        <x:v>4</x:v>
      </x:c>
      <x:c r="E118" s="25" t="str">
        <x:v>Supply Drop</x:v>
      </x:c>
      <x:c r="F118" s="30" t="n">
        <x:v>7600</x:v>
      </x:c>
      <x:c r="G118" s="30" t="n">
        <x:f>IF(F118="","",FLOOR(INT(F118*'Price rules'!$B$5),'Price rules'!$B$9)+IF(MOD(INT(F118*'Price rules'!$B$5),'Price rules'!$B$9)&lt;'Price rules'!$B$10,0,'Price rules'!$B$9))</x:f>
        <x:v>6460</x:v>
      </x:c>
      <x:c r="H118" s="30" t="n">
        <x:f>IF(F118="","",FLOOR(INT(F118*'Price rules'!$B$7),'Price rules'!$B$9)+IF(MOD(INT(F118*'Price rules'!$B$7),'Price rules'!$B$9)&lt;'Price rules'!$B$10,0,'Price rules'!$B$9))</x:f>
        <x:v>8210</x:v>
      </x:c>
      <x:c r="I118" s="30" t="n">
        <x:f>IF(F118="","",FLOOR(INT(F118*'Price rules'!$B$8),'Price rules'!$B$9)+IF(MOD(INT(F118*'Price rules'!$B$8),'Price rules'!$B$9)&lt;'Price rules'!$B$10,0,'Price rules'!$B$9))</x:f>
        <x:v>9120</x:v>
      </x:c>
      <x:c r="J118" s="30" t="n">
        <x:f>IF(N118="conditional","",SUMIFS($F$5:$F$394,$A$5:$A$394,A118,$C$5:$C$394,C118,$D$5:$D$394,"&lt;="&amp;D118)+SUMIF(Towers!$A$5:$A$30,A118,Towers!$E$5:$E$30))</x:f>
        <x:v>10750</x:v>
      </x:c>
      <x:c r="K118" s="30"/>
      <x:c r="L118" s="25" t="str">
        <x:v>economy</x:v>
      </x:c>
      <x:c r="M118" s="25" t="str">
        <x:v>Adds a cash-crate ability, Lead damage, and stronger shrapnel.</x:v>
      </x:c>
      <x:c r="N118" s="25" t="str">
        <x:v>fixed_upgrade_price</x:v>
      </x:c>
      <x:c r="O118" s="30" t="n">
        <x:v>7600</x:v>
      </x:c>
      <x:c r="P118" s="25" t="str">
        <x:v>https://raw.githubusercontent.com/Btd6ModHelper/btd6-game-data/main/Towers/SniperMonkey/SniperMonkey-040.json</x:v>
      </x:c>
      <x:c r="Q118" s="25" t="str">
        <x:v>https://raw.githubusercontent.com/hemisemidemipresent/cyberquincy/master/jsons/costs.json</x:v>
      </x:c>
      <x:c r="R118" s="25" t="str">
        <x:v>https://raw.githubusercontent.com/Btd6ModHelper/btd6-game-data/main/textTable.json</x:v>
      </x:c>
      <x:c r="S118" s="25"/>
      <x:c r="T118" s="25"/>
    </x:row>
    <x:row r="119" ht="64" customHeight="1">
      <x:c r="A119" s="25" t="str">
        <x:v>Sniper Monkey</x:v>
      </x:c>
      <x:c r="B119" s="80" t="str">
        <x:v>050</x:v>
      </x:c>
      <x:c r="C119" s="25" t="str">
        <x:v>middle</x:v>
      </x:c>
      <x:c r="D119" s="25" t="n">
        <x:v>5</x:v>
      </x:c>
      <x:c r="E119" s="25" t="str">
        <x:v>Elite Sniper</x:v>
      </x:c>
      <x:c r="F119" s="30" t="n">
        <x:v>12000</x:v>
      </x:c>
      <x:c r="G119" s="30" t="n">
        <x:f>IF(F119="","",FLOOR(INT(F119*'Price rules'!$B$5),'Price rules'!$B$9)+IF(MOD(INT(F119*'Price rules'!$B$5),'Price rules'!$B$9)&lt;'Price rules'!$B$10,0,'Price rules'!$B$9))</x:f>
        <x:v>10200</x:v>
      </x:c>
      <x:c r="H119" s="30" t="n">
        <x:f>IF(F119="","",FLOOR(INT(F119*'Price rules'!$B$7),'Price rules'!$B$9)+IF(MOD(INT(F119*'Price rules'!$B$7),'Price rules'!$B$9)&lt;'Price rules'!$B$10,0,'Price rules'!$B$9))</x:f>
        <x:v>12960</x:v>
      </x:c>
      <x:c r="I119" s="30" t="n">
        <x:f>IF(F119="","",FLOOR(INT(F119*'Price rules'!$B$8),'Price rules'!$B$9)+IF(MOD(INT(F119*'Price rules'!$B$8),'Price rules'!$B$9)&lt;'Price rules'!$B$10,0,'Price rules'!$B$9))</x:f>
        <x:v>14400</x:v>
      </x:c>
      <x:c r="J119" s="30" t="n">
        <x:f>IF(N119="conditional","",SUMIFS($F$5:$F$394,$A$5:$A$394,A119,$C$5:$C$394,C119,$D$5:$D$394,"&lt;="&amp;D119)+SUMIF(Towers!$A$5:$A$30,A119,Towers!$E$5:$E$30))</x:f>
        <x:v>22750</x:v>
      </x:c>
      <x:c r="K119" s="30"/>
      <x:c r="L119" s="25" t="str">
        <x:v>economy</x:v>
      </x:c>
      <x:c r="M119" s="25" t="str">
        <x:v>Improves cash drops, adds Elite targeting, and buffs other Snipers' attack speed.</x:v>
      </x:c>
      <x:c r="N119" s="25" t="str">
        <x:v>fixed_upgrade_price</x:v>
      </x:c>
      <x:c r="O119" s="30" t="n">
        <x:v>12000</x:v>
      </x:c>
      <x:c r="P119" s="25" t="str">
        <x:v>https://raw.githubusercontent.com/Btd6ModHelper/btd6-game-data/main/Towers/SniperMonkey/SniperMonkey-050.json</x:v>
      </x:c>
      <x:c r="Q119" s="25" t="str">
        <x:v>https://raw.githubusercontent.com/hemisemidemipresent/cyberquincy/master/jsons/costs.json</x:v>
      </x:c>
      <x:c r="R119" s="25" t="str">
        <x:v>https://raw.githubusercontent.com/Btd6ModHelper/btd6-game-data/main/textTable.json</x:v>
      </x:c>
      <x:c r="S119" s="25"/>
      <x:c r="T119" s="25"/>
    </x:row>
    <x:row r="120" ht="64" customHeight="1">
      <x:c r="A120" s="25" t="str">
        <x:v>Sniper Monkey</x:v>
      </x:c>
      <x:c r="B120" s="80" t="str">
        <x:v>001</x:v>
      </x:c>
      <x:c r="C120" s="25" t="str">
        <x:v>bottom</x:v>
      </x:c>
      <x:c r="D120" s="25" t="n">
        <x:v>1</x:v>
      </x:c>
      <x:c r="E120" s="25" t="str">
        <x:v>Fast Firing</x:v>
      </x:c>
      <x:c r="F120" s="30" t="n">
        <x:v>450</x:v>
      </x:c>
      <x:c r="G120" s="30" t="n">
        <x:f>IF(F120="","",FLOOR(INT(F120*'Price rules'!$B$5),'Price rules'!$B$9)+IF(MOD(INT(F120*'Price rules'!$B$5),'Price rules'!$B$9)&lt;'Price rules'!$B$10,0,'Price rules'!$B$9))</x:f>
        <x:v>380</x:v>
      </x:c>
      <x:c r="H120" s="30" t="n">
        <x:f>IF(F120="","",FLOOR(INT(F120*'Price rules'!$B$7),'Price rules'!$B$9)+IF(MOD(INT(F120*'Price rules'!$B$7),'Price rules'!$B$9)&lt;'Price rules'!$B$10,0,'Price rules'!$B$9))</x:f>
        <x:v>485</x:v>
      </x:c>
      <x:c r="I120" s="30" t="n">
        <x:f>IF(F120="","",FLOOR(INT(F120*'Price rules'!$B$8),'Price rules'!$B$9)+IF(MOD(INT(F120*'Price rules'!$B$8),'Price rules'!$B$9)&lt;'Price rules'!$B$10,0,'Price rules'!$B$9))</x:f>
        <x:v>540</x:v>
      </x:c>
      <x:c r="J120" s="30" t="n">
        <x:f>IF(N120="conditional","",SUMIFS($F$5:$F$394,$A$5:$A$394,A120,$C$5:$C$394,C120,$D$5:$D$394,"&lt;="&amp;D120)+SUMIF(Towers!$A$5:$A$30,A120,Towers!$E$5:$E$30))</x:f>
        <x:v>800</x:v>
      </x:c>
      <x:c r="K120" s="30"/>
      <x:c r="L120" s="25" t="str">
        <x:v>sniper</x:v>
      </x:c>
      <x:c r="M120" s="25" t="str">
        <x:v>Reduces the attack interval.</x:v>
      </x:c>
      <x:c r="N120" s="25" t="str">
        <x:v>fixed_upgrade_price</x:v>
      </x:c>
      <x:c r="O120" s="30" t="n">
        <x:v>450</x:v>
      </x:c>
      <x:c r="P120" s="25" t="str">
        <x:v>https://raw.githubusercontent.com/Btd6ModHelper/btd6-game-data/main/Towers/SniperMonkey/SniperMonkey-001.json</x:v>
      </x:c>
      <x:c r="Q120" s="25" t="str">
        <x:v>https://raw.githubusercontent.com/hemisemidemipresent/cyberquincy/master/jsons/costs.json</x:v>
      </x:c>
      <x:c r="R120" s="25" t="str">
        <x:v>https://raw.githubusercontent.com/Btd6ModHelper/btd6-game-data/main/textTable.json</x:v>
      </x:c>
      <x:c r="S120" s="25"/>
      <x:c r="T120" s="25"/>
    </x:row>
    <x:row r="121" ht="64" customHeight="1">
      <x:c r="A121" s="25" t="str">
        <x:v>Sniper Monkey</x:v>
      </x:c>
      <x:c r="B121" s="80" t="str">
        <x:v>002</x:v>
      </x:c>
      <x:c r="C121" s="25" t="str">
        <x:v>bottom</x:v>
      </x:c>
      <x:c r="D121" s="25" t="n">
        <x:v>2</x:v>
      </x:c>
      <x:c r="E121" s="25" t="str">
        <x:v>Even Faster Firing</x:v>
      </x:c>
      <x:c r="F121" s="30" t="n">
        <x:v>450</x:v>
      </x:c>
      <x:c r="G121" s="30" t="n">
        <x:f>IF(F121="","",FLOOR(INT(F121*'Price rules'!$B$5),'Price rules'!$B$9)+IF(MOD(INT(F121*'Price rules'!$B$5),'Price rules'!$B$9)&lt;'Price rules'!$B$10,0,'Price rules'!$B$9))</x:f>
        <x:v>380</x:v>
      </x:c>
      <x:c r="H121" s="30" t="n">
        <x:f>IF(F121="","",FLOOR(INT(F121*'Price rules'!$B$7),'Price rules'!$B$9)+IF(MOD(INT(F121*'Price rules'!$B$7),'Price rules'!$B$9)&lt;'Price rules'!$B$10,0,'Price rules'!$B$9))</x:f>
        <x:v>485</x:v>
      </x:c>
      <x:c r="I121" s="30" t="n">
        <x:f>IF(F121="","",FLOOR(INT(F121*'Price rules'!$B$8),'Price rules'!$B$9)+IF(MOD(INT(F121*'Price rules'!$B$8),'Price rules'!$B$9)&lt;'Price rules'!$B$10,0,'Price rules'!$B$9))</x:f>
        <x:v>540</x:v>
      </x:c>
      <x:c r="J121" s="30" t="n">
        <x:f>IF(N121="conditional","",SUMIFS($F$5:$F$394,$A$5:$A$394,A121,$C$5:$C$394,C121,$D$5:$D$394,"&lt;="&amp;D121)+SUMIF(Towers!$A$5:$A$30,A121,Towers!$E$5:$E$30))</x:f>
        <x:v>1250</x:v>
      </x:c>
      <x:c r="K121" s="30"/>
      <x:c r="L121" s="25" t="str">
        <x:v>sniper</x:v>
      </x:c>
      <x:c r="M121" s="25" t="str">
        <x:v>Further reduces the attack interval.</x:v>
      </x:c>
      <x:c r="N121" s="25" t="str">
        <x:v>fixed_upgrade_price</x:v>
      </x:c>
      <x:c r="O121" s="30" t="n">
        <x:v>450</x:v>
      </x:c>
      <x:c r="P121" s="25" t="str">
        <x:v>https://raw.githubusercontent.com/Btd6ModHelper/btd6-game-data/main/Towers/SniperMonkey/SniperMonkey-002.json</x:v>
      </x:c>
      <x:c r="Q121" s="25" t="str">
        <x:v>https://raw.githubusercontent.com/hemisemidemipresent/cyberquincy/master/jsons/costs.json</x:v>
      </x:c>
      <x:c r="R121" s="25" t="str">
        <x:v>https://raw.githubusercontent.com/Btd6ModHelper/btd6-game-data/main/textTable.json</x:v>
      </x:c>
      <x:c r="S121" s="25"/>
      <x:c r="T121" s="25"/>
    </x:row>
    <x:row r="122" ht="64" customHeight="1">
      <x:c r="A122" s="25" t="str">
        <x:v>Sniper Monkey</x:v>
      </x:c>
      <x:c r="B122" s="80" t="str">
        <x:v>003</x:v>
      </x:c>
      <x:c r="C122" s="25" t="str">
        <x:v>bottom</x:v>
      </x:c>
      <x:c r="D122" s="25" t="n">
        <x:v>3</x:v>
      </x:c>
      <x:c r="E122" s="25" t="str">
        <x:v>Semi-Automatic</x:v>
      </x:c>
      <x:c r="F122" s="30" t="n">
        <x:v>2700</x:v>
      </x:c>
      <x:c r="G122" s="30" t="n">
        <x:f>IF(F122="","",FLOOR(INT(F122*'Price rules'!$B$5),'Price rules'!$B$9)+IF(MOD(INT(F122*'Price rules'!$B$5),'Price rules'!$B$9)&lt;'Price rules'!$B$10,0,'Price rules'!$B$9))</x:f>
        <x:v>2295</x:v>
      </x:c>
      <x:c r="H122" s="30" t="n">
        <x:f>IF(F122="","",FLOOR(INT(F122*'Price rules'!$B$7),'Price rules'!$B$9)+IF(MOD(INT(F122*'Price rules'!$B$7),'Price rules'!$B$9)&lt;'Price rules'!$B$10,0,'Price rules'!$B$9))</x:f>
        <x:v>2915</x:v>
      </x:c>
      <x:c r="I122" s="30" t="n">
        <x:f>IF(F122="","",FLOOR(INT(F122*'Price rules'!$B$8),'Price rules'!$B$9)+IF(MOD(INT(F122*'Price rules'!$B$8),'Price rules'!$B$9)&lt;'Price rules'!$B$10,0,'Price rules'!$B$9))</x:f>
        <x:v>3240</x:v>
      </x:c>
      <x:c r="J122" s="30" t="n">
        <x:f>IF(N122="conditional","",SUMIFS($F$5:$F$394,$A$5:$A$394,A122,$C$5:$C$394,C122,$D$5:$D$394,"&lt;="&amp;D122)+SUMIF(Towers!$A$5:$A$30,A122,Towers!$E$5:$E$30))</x:f>
        <x:v>3950</x:v>
      </x:c>
      <x:c r="K122" s="30"/>
      <x:c r="L122" s="25" t="str">
        <x:v>rapid_fire</x:v>
      </x:c>
      <x:c r="M122" s="25" t="str">
        <x:v>Triples firing speed relative to the previous tier.</x:v>
      </x:c>
      <x:c r="N122" s="25" t="str">
        <x:v>fixed_upgrade_price</x:v>
      </x:c>
      <x:c r="O122" s="30" t="n">
        <x:v>2700</x:v>
      </x:c>
      <x:c r="P122" s="25" t="str">
        <x:v>https://raw.githubusercontent.com/Btd6ModHelper/btd6-game-data/main/Towers/SniperMonkey/SniperMonkey-003.json</x:v>
      </x:c>
      <x:c r="Q122" s="25" t="str">
        <x:v>https://raw.githubusercontent.com/hemisemidemipresent/cyberquincy/master/jsons/costs.json</x:v>
      </x:c>
      <x:c r="R122" s="25" t="str">
        <x:v>https://raw.githubusercontent.com/Btd6ModHelper/btd6-game-data/main/textTable.json</x:v>
      </x:c>
      <x:c r="S122" s="25"/>
      <x:c r="T122" s="25"/>
    </x:row>
    <x:row r="123" ht="64" customHeight="1">
      <x:c r="A123" s="25" t="str">
        <x:v>Sniper Monkey</x:v>
      </x:c>
      <x:c r="B123" s="80" t="str">
        <x:v>004</x:v>
      </x:c>
      <x:c r="C123" s="25" t="str">
        <x:v>bottom</x:v>
      </x:c>
      <x:c r="D123" s="25" t="n">
        <x:v>4</x:v>
      </x:c>
      <x:c r="E123" s="25" t="str">
        <x:v>Full Auto Rifle</x:v>
      </x:c>
      <x:c r="F123" s="30" t="n">
        <x:v>4100</x:v>
      </x:c>
      <x:c r="G123" s="30" t="n">
        <x:f>IF(F123="","",FLOOR(INT(F123*'Price rules'!$B$5),'Price rules'!$B$9)+IF(MOD(INT(F123*'Price rules'!$B$5),'Price rules'!$B$9)&lt;'Price rules'!$B$10,0,'Price rules'!$B$9))</x:f>
        <x:v>3485</x:v>
      </x:c>
      <x:c r="H123" s="30" t="n">
        <x:f>IF(F123="","",FLOOR(INT(F123*'Price rules'!$B$7),'Price rules'!$B$9)+IF(MOD(INT(F123*'Price rules'!$B$7),'Price rules'!$B$9)&lt;'Price rules'!$B$10,0,'Price rules'!$B$9))</x:f>
        <x:v>4430</x:v>
      </x:c>
      <x:c r="I123" s="30" t="n">
        <x:f>IF(F123="","",FLOOR(INT(F123*'Price rules'!$B$8),'Price rules'!$B$9)+IF(MOD(INT(F123*'Price rules'!$B$8),'Price rules'!$B$9)&lt;'Price rules'!$B$10,0,'Price rules'!$B$9))</x:f>
        <x:v>4920</x:v>
      </x:c>
      <x:c r="J123" s="30" t="n">
        <x:f>IF(N123="conditional","",SUMIFS($F$5:$F$394,$A$5:$A$394,A123,$C$5:$C$394,C123,$D$5:$D$394,"&lt;="&amp;D123)+SUMIF(Towers!$A$5:$A$30,A123,Towers!$E$5:$E$30))</x:f>
        <x:v>8050</x:v>
      </x:c>
      <x:c r="K123" s="30"/>
      <x:c r="L123" s="25" t="str">
        <x:v>rapid_fire</x:v>
      </x:c>
      <x:c r="M123" s="25" t="str">
        <x:v>Greatly increases sustained firing speed.</x:v>
      </x:c>
      <x:c r="N123" s="25" t="str">
        <x:v>fixed_upgrade_price</x:v>
      </x:c>
      <x:c r="O123" s="30" t="n">
        <x:v>4100</x:v>
      </x:c>
      <x:c r="P123" s="25" t="str">
        <x:v>https://raw.githubusercontent.com/Btd6ModHelper/btd6-game-data/main/Towers/SniperMonkey/SniperMonkey-004.json</x:v>
      </x:c>
      <x:c r="Q123" s="25" t="str">
        <x:v>https://raw.githubusercontent.com/hemisemidemipresent/cyberquincy/master/jsons/costs.json</x:v>
      </x:c>
      <x:c r="R123" s="25" t="str">
        <x:v>https://raw.githubusercontent.com/Btd6ModHelper/btd6-game-data/main/textTable.json</x:v>
      </x:c>
      <x:c r="S123" s="25"/>
      <x:c r="T123" s="25"/>
    </x:row>
    <x:row r="124" ht="64" customHeight="1">
      <x:c r="A124" s="25" t="str">
        <x:v>Sniper Monkey</x:v>
      </x:c>
      <x:c r="B124" s="80" t="str">
        <x:v>005</x:v>
      </x:c>
      <x:c r="C124" s="25" t="str">
        <x:v>bottom</x:v>
      </x:c>
      <x:c r="D124" s="25" t="n">
        <x:v>5</x:v>
      </x:c>
      <x:c r="E124" s="25" t="str">
        <x:v>Elite Defender</x:v>
      </x:c>
      <x:c r="F124" s="30" t="n">
        <x:v>14900</x:v>
      </x:c>
      <x:c r="G124" s="30" t="n">
        <x:f>IF(F124="","",FLOOR(INT(F124*'Price rules'!$B$5),'Price rules'!$B$9)+IF(MOD(INT(F124*'Price rules'!$B$5),'Price rules'!$B$9)&lt;'Price rules'!$B$10,0,'Price rules'!$B$9))</x:f>
        <x:v>12665</x:v>
      </x:c>
      <x:c r="H124" s="30" t="n">
        <x:f>IF(F124="","",FLOOR(INT(F124*'Price rules'!$B$7),'Price rules'!$B$9)+IF(MOD(INT(F124*'Price rules'!$B$7),'Price rules'!$B$9)&lt;'Price rules'!$B$10,0,'Price rules'!$B$9))</x:f>
        <x:v>16090</x:v>
      </x:c>
      <x:c r="I124" s="30" t="n">
        <x:f>IF(F124="","",FLOOR(INT(F124*'Price rules'!$B$8),'Price rules'!$B$9)+IF(MOD(INT(F124*'Price rules'!$B$8),'Price rules'!$B$9)&lt;'Price rules'!$B$10,0,'Price rules'!$B$9))</x:f>
        <x:v>17880</x:v>
      </x:c>
      <x:c r="J124" s="30" t="n">
        <x:f>IF(N124="conditional","",SUMIFS($F$5:$F$394,$A$5:$A$394,A124,$C$5:$C$394,C124,$D$5:$D$394,"&lt;="&amp;D124)+SUMIF(Towers!$A$5:$A$30,A124,Towers!$E$5:$E$30))</x:f>
        <x:v>22950</x:v>
      </x:c>
      <x:c r="K124" s="30"/>
      <x:c r="L124" s="25" t="str">
        <x:v>rapid_fire</x:v>
      </x:c>
      <x:c r="M124" s="25" t="str">
        <x:v>Adds MOAB damage and attack-speed bonuses based on track progress and lost lives.</x:v>
      </x:c>
      <x:c r="N124" s="25" t="str">
        <x:v>fixed_upgrade_price</x:v>
      </x:c>
      <x:c r="O124" s="30" t="n">
        <x:v>14900</x:v>
      </x:c>
      <x:c r="P124" s="25" t="str">
        <x:v>https://raw.githubusercontent.com/Btd6ModHelper/btd6-game-data/main/Towers/SniperMonkey/SniperMonkey-005.json</x:v>
      </x:c>
      <x:c r="Q124" s="25" t="str">
        <x:v>https://raw.githubusercontent.com/hemisemidemipresent/cyberquincy/master/jsons/costs.json</x:v>
      </x:c>
      <x:c r="R124" s="25" t="str">
        <x:v>https://raw.githubusercontent.com/Btd6ModHelper/btd6-game-data/main/textTable.json</x:v>
      </x:c>
      <x:c r="S124" s="25"/>
      <x:c r="T124" s="25"/>
    </x:row>
    <x:row r="125" ht="64" customHeight="1">
      <x:c r="A125" s="25" t="str">
        <x:v>Monkey Sub</x:v>
      </x:c>
      <x:c r="B125" s="80" t="str">
        <x:v>100</x:v>
      </x:c>
      <x:c r="C125" s="25" t="str">
        <x:v>top</x:v>
      </x:c>
      <x:c r="D125" s="25" t="n">
        <x:v>1</x:v>
      </x:c>
      <x:c r="E125" s="25" t="str">
        <x:v>Longer Range</x:v>
      </x:c>
      <x:c r="F125" s="30" t="n">
        <x:v>130</x:v>
      </x:c>
      <x:c r="G125" s="30" t="n">
        <x:f>IF(F125="","",FLOOR(INT(F125*'Price rules'!$B$5),'Price rules'!$B$9)+IF(MOD(INT(F125*'Price rules'!$B$5),'Price rules'!$B$9)&lt;'Price rules'!$B$10,0,'Price rules'!$B$9))</x:f>
        <x:v>110</x:v>
      </x:c>
      <x:c r="H125" s="30" t="n">
        <x:f>IF(F125="","",FLOOR(INT(F125*'Price rules'!$B$7),'Price rules'!$B$9)+IF(MOD(INT(F125*'Price rules'!$B$7),'Price rules'!$B$9)&lt;'Price rules'!$B$10,0,'Price rules'!$B$9))</x:f>
        <x:v>140</x:v>
      </x:c>
      <x:c r="I125" s="30" t="n">
        <x:f>IF(F125="","",FLOOR(INT(F125*'Price rules'!$B$8),'Price rules'!$B$9)+IF(MOD(INT(F125*'Price rules'!$B$8),'Price rules'!$B$9)&lt;'Price rules'!$B$10,0,'Price rules'!$B$9))</x:f>
        <x:v>155</x:v>
      </x:c>
      <x:c r="J125" s="30" t="n">
        <x:f>IF(N125="conditional","",SUMIFS($F$5:$F$394,$A$5:$A$394,A125,$C$5:$C$394,C125,$D$5:$D$394,"&lt;="&amp;D125)+SUMIF(Towers!$A$5:$A$30,A125,Towers!$E$5:$E$30))</x:f>
        <x:v>455</x:v>
      </x:c>
      <x:c r="K125" s="30"/>
      <x:c r="L125" s="25" t="str">
        <x:v>basic_dps</x:v>
      </x:c>
      <x:c r="M125" s="25" t="str">
        <x:v>Increases attack range.</x:v>
      </x:c>
      <x:c r="N125" s="25" t="str">
        <x:v>fixed_upgrade_price</x:v>
      </x:c>
      <x:c r="O125" s="30" t="n">
        <x:v>130</x:v>
      </x:c>
      <x:c r="P125" s="25" t="str">
        <x:v>https://raw.githubusercontent.com/Btd6ModHelper/btd6-game-data/main/Towers/MonkeySub/MonkeySub-100.json</x:v>
      </x:c>
      <x:c r="Q125" s="25" t="str">
        <x:v>https://raw.githubusercontent.com/hemisemidemipresent/cyberquincy/master/jsons/costs.json</x:v>
      </x:c>
      <x:c r="R125" s="25" t="str">
        <x:v>https://raw.githubusercontent.com/Btd6ModHelper/btd6-game-data/main/textTable.json</x:v>
      </x:c>
      <x:c r="S125" s="25"/>
      <x:c r="T125" s="25"/>
    </x:row>
    <x:row r="126" ht="64" customHeight="1">
      <x:c r="A126" s="25" t="str">
        <x:v>Monkey Sub</x:v>
      </x:c>
      <x:c r="B126" s="80" t="str">
        <x:v>200</x:v>
      </x:c>
      <x:c r="C126" s="25" t="str">
        <x:v>top</x:v>
      </x:c>
      <x:c r="D126" s="25" t="n">
        <x:v>2</x:v>
      </x:c>
      <x:c r="E126" s="25" t="str">
        <x:v>Advanced Intel</x:v>
      </x:c>
      <x:c r="F126" s="30" t="n">
        <x:v>500</x:v>
      </x:c>
      <x:c r="G126" s="30" t="n">
        <x:f>IF(F126="","",FLOOR(INT(F126*'Price rules'!$B$5),'Price rules'!$B$9)+IF(MOD(INT(F126*'Price rules'!$B$5),'Price rules'!$B$9)&lt;'Price rules'!$B$10,0,'Price rules'!$B$9))</x:f>
        <x:v>425</x:v>
      </x:c>
      <x:c r="H126" s="30" t="n">
        <x:f>IF(F126="","",FLOOR(INT(F126*'Price rules'!$B$7),'Price rules'!$B$9)+IF(MOD(INT(F126*'Price rules'!$B$7),'Price rules'!$B$9)&lt;'Price rules'!$B$10,0,'Price rules'!$B$9))</x:f>
        <x:v>540</x:v>
      </x:c>
      <x:c r="I126" s="30" t="n">
        <x:f>IF(F126="","",FLOOR(INT(F126*'Price rules'!$B$8),'Price rules'!$B$9)+IF(MOD(INT(F126*'Price rules'!$B$8),'Price rules'!$B$9)&lt;'Price rules'!$B$10,0,'Price rules'!$B$9))</x:f>
        <x:v>600</x:v>
      </x:c>
      <x:c r="J126" s="30" t="n">
        <x:f>IF(N126="conditional","",SUMIFS($F$5:$F$394,$A$5:$A$394,A126,$C$5:$C$394,C126,$D$5:$D$394,"&lt;="&amp;D126)+SUMIF(Towers!$A$5:$A$30,A126,Towers!$E$5:$E$30))</x:f>
        <x:v>955</x:v>
      </x:c>
      <x:c r="K126" s="30"/>
      <x:c r="L126" s="25" t="str">
        <x:v>basic_dps</x:v>
      </x:c>
      <x:c r="M126" s="25" t="str">
        <x:v>Can target within the detection ranges of other towers.</x:v>
      </x:c>
      <x:c r="N126" s="25" t="str">
        <x:v>fixed_upgrade_price</x:v>
      </x:c>
      <x:c r="O126" s="30" t="n">
        <x:v>500</x:v>
      </x:c>
      <x:c r="P126" s="25" t="str">
        <x:v>https://raw.githubusercontent.com/Btd6ModHelper/btd6-game-data/main/Towers/MonkeySub/MonkeySub-200.json</x:v>
      </x:c>
      <x:c r="Q126" s="25" t="str">
        <x:v>https://raw.githubusercontent.com/hemisemidemipresent/cyberquincy/master/jsons/costs.json</x:v>
      </x:c>
      <x:c r="R126" s="25" t="str">
        <x:v>https://raw.githubusercontent.com/Btd6ModHelper/btd6-game-data/main/textTable.json</x:v>
      </x:c>
      <x:c r="S126" s="25"/>
      <x:c r="T126" s="25"/>
    </x:row>
    <x:row r="127" ht="64" customHeight="1">
      <x:c r="A127" s="25" t="str">
        <x:v>Monkey Sub</x:v>
      </x:c>
      <x:c r="B127" s="80" t="str">
        <x:v>300</x:v>
      </x:c>
      <x:c r="C127" s="25" t="str">
        <x:v>top</x:v>
      </x:c>
      <x:c r="D127" s="25" t="n">
        <x:v>3</x:v>
      </x:c>
      <x:c r="E127" s="25" t="str">
        <x:v>Submerge and Support</x:v>
      </x:c>
      <x:c r="F127" s="30" t="n">
        <x:v>700</x:v>
      </x:c>
      <x:c r="G127" s="30" t="n">
        <x:f>IF(F127="","",FLOOR(INT(F127*'Price rules'!$B$5),'Price rules'!$B$9)+IF(MOD(INT(F127*'Price rules'!$B$5),'Price rules'!$B$9)&lt;'Price rules'!$B$10,0,'Price rules'!$B$9))</x:f>
        <x:v>595</x:v>
      </x:c>
      <x:c r="H127" s="30" t="n">
        <x:f>IF(F127="","",FLOOR(INT(F127*'Price rules'!$B$7),'Price rules'!$B$9)+IF(MOD(INT(F127*'Price rules'!$B$7),'Price rules'!$B$9)&lt;'Price rules'!$B$10,0,'Price rules'!$B$9))</x:f>
        <x:v>755</x:v>
      </x:c>
      <x:c r="I127" s="30" t="n">
        <x:f>IF(F127="","",FLOOR(INT(F127*'Price rules'!$B$8),'Price rules'!$B$9)+IF(MOD(INT(F127*'Price rules'!$B$8),'Price rules'!$B$9)&lt;'Price rules'!$B$10,0,'Price rules'!$B$9))</x:f>
        <x:v>840</x:v>
      </x:c>
      <x:c r="J127" s="30" t="n">
        <x:f>IF(N127="conditional","",SUMIFS($F$5:$F$394,$A$5:$A$394,A127,$C$5:$C$394,C127,$D$5:$D$394,"&lt;="&amp;D127)+SUMIF(Towers!$A$5:$A$30,A127,Towers!$E$5:$E$30))</x:f>
        <x:v>1655</x:v>
      </x:c>
      <x:c r="K127" s="30"/>
      <x:c r="L127" s="25" t="str">
        <x:v>support</x:v>
      </x:c>
      <x:c r="M127" s="25" t="str">
        <x:v>Adds a submerged mode that removes Camo instead of firing darts.</x:v>
      </x:c>
      <x:c r="N127" s="25" t="str">
        <x:v>fixed_upgrade_price</x:v>
      </x:c>
      <x:c r="O127" s="30" t="n">
        <x:v>700</x:v>
      </x:c>
      <x:c r="P127" s="25" t="str">
        <x:v>https://raw.githubusercontent.com/Btd6ModHelper/btd6-game-data/main/Towers/MonkeySub/MonkeySub-300.json</x:v>
      </x:c>
      <x:c r="Q127" s="25" t="str">
        <x:v>https://raw.githubusercontent.com/hemisemidemipresent/cyberquincy/master/jsons/costs.json</x:v>
      </x:c>
      <x:c r="R127" s="25" t="str">
        <x:v>https://raw.githubusercontent.com/Btd6ModHelper/btd6-game-data/main/textTable.json</x:v>
      </x:c>
      <x:c r="S127" s="25"/>
      <x:c r="T127" s="25"/>
    </x:row>
    <x:row r="128" ht="64" customHeight="1">
      <x:c r="A128" s="25" t="str">
        <x:v>Monkey Sub</x:v>
      </x:c>
      <x:c r="B128" s="80" t="str">
        <x:v>400</x:v>
      </x:c>
      <x:c r="C128" s="25" t="str">
        <x:v>top</x:v>
      </x:c>
      <x:c r="D128" s="25" t="n">
        <x:v>4</x:v>
      </x:c>
      <x:c r="E128" s="25" t="str">
        <x:v>Bloontonium Reactor</x:v>
      </x:c>
      <x:c r="F128" s="30" t="n">
        <x:v>2400</x:v>
      </x:c>
      <x:c r="G128" s="30" t="n">
        <x:f>IF(F128="","",FLOOR(INT(F128*'Price rules'!$B$5),'Price rules'!$B$9)+IF(MOD(INT(F128*'Price rules'!$B$5),'Price rules'!$B$9)&lt;'Price rules'!$B$10,0,'Price rules'!$B$9))</x:f>
        <x:v>2040</x:v>
      </x:c>
      <x:c r="H128" s="30" t="n">
        <x:f>IF(F128="","",FLOOR(INT(F128*'Price rules'!$B$7),'Price rules'!$B$9)+IF(MOD(INT(F128*'Price rules'!$B$7),'Price rules'!$B$9)&lt;'Price rules'!$B$10,0,'Price rules'!$B$9))</x:f>
        <x:v>2590</x:v>
      </x:c>
      <x:c r="I128" s="30" t="n">
        <x:f>IF(F128="","",FLOOR(INT(F128*'Price rules'!$B$8),'Price rules'!$B$9)+IF(MOD(INT(F128*'Price rules'!$B$8),'Price rules'!$B$9)&lt;'Price rules'!$B$10,0,'Price rules'!$B$9))</x:f>
        <x:v>2880</x:v>
      </x:c>
      <x:c r="J128" s="30" t="n">
        <x:f>IF(N128="conditional","",SUMIFS($F$5:$F$394,$A$5:$A$394,A128,$C$5:$C$394,C128,$D$5:$D$394,"&lt;="&amp;D128)+SUMIF(Towers!$A$5:$A$30,A128,Towers!$E$5:$E$30))</x:f>
        <x:v>4055</x:v>
      </x:c>
      <x:c r="K128" s="30"/>
      <x:c r="L128" s="25" t="str">
        <x:v>splash</x:v>
      </x:c>
      <x:c r="M128" s="25" t="str">
        <x:v>Submerged pulses deal damage and reduce nearby water-tower ability cooldowns.</x:v>
      </x:c>
      <x:c r="N128" s="25" t="str">
        <x:v>fixed_upgrade_price</x:v>
      </x:c>
      <x:c r="O128" s="30" t="n">
        <x:v>2400</x:v>
      </x:c>
      <x:c r="P128" s="25" t="str">
        <x:v>https://raw.githubusercontent.com/Btd6ModHelper/btd6-game-data/main/Towers/MonkeySub/MonkeySub-400.json</x:v>
      </x:c>
      <x:c r="Q128" s="25" t="str">
        <x:v>https://raw.githubusercontent.com/hemisemidemipresent/cyberquincy/master/jsons/costs.json</x:v>
      </x:c>
      <x:c r="R128" s="25" t="str">
        <x:v>https://raw.githubusercontent.com/Btd6ModHelper/btd6-game-data/main/textTable.json</x:v>
      </x:c>
      <x:c r="S128" s="25"/>
      <x:c r="T128" s="25"/>
    </x:row>
    <x:row r="129" ht="64" customHeight="1">
      <x:c r="A129" s="25" t="str">
        <x:v>Monkey Sub</x:v>
      </x:c>
      <x:c r="B129" s="80" t="str">
        <x:v>500</x:v>
      </x:c>
      <x:c r="C129" s="25" t="str">
        <x:v>top</x:v>
      </x:c>
      <x:c r="D129" s="25" t="n">
        <x:v>5</x:v>
      </x:c>
      <x:c r="E129" s="25" t="str">
        <x:v>Energizer</x:v>
      </x:c>
      <x:c r="F129" s="30" t="n">
        <x:v>28000</x:v>
      </x:c>
      <x:c r="G129" s="30" t="n">
        <x:f>IF(F129="","",FLOOR(INT(F129*'Price rules'!$B$5),'Price rules'!$B$9)+IF(MOD(INT(F129*'Price rules'!$B$5),'Price rules'!$B$9)&lt;'Price rules'!$B$10,0,'Price rules'!$B$9))</x:f>
        <x:v>23800</x:v>
      </x:c>
      <x:c r="H129" s="30" t="n">
        <x:f>IF(F129="","",FLOOR(INT(F129*'Price rules'!$B$7),'Price rules'!$B$9)+IF(MOD(INT(F129*'Price rules'!$B$7),'Price rules'!$B$9)&lt;'Price rules'!$B$10,0,'Price rules'!$B$9))</x:f>
        <x:v>30240</x:v>
      </x:c>
      <x:c r="I129" s="30" t="n">
        <x:f>IF(F129="","",FLOOR(INT(F129*'Price rules'!$B$8),'Price rules'!$B$9)+IF(MOD(INT(F129*'Price rules'!$B$8),'Price rules'!$B$9)&lt;'Price rules'!$B$10,0,'Price rules'!$B$9))</x:f>
        <x:v>33600</x:v>
      </x:c>
      <x:c r="J129" s="30" t="n">
        <x:f>IF(N129="conditional","",SUMIFS($F$5:$F$394,$A$5:$A$394,A129,$C$5:$C$394,C129,$D$5:$D$394,"&lt;="&amp;D129)+SUMIF(Towers!$A$5:$A$30,A129,Towers!$E$5:$E$30))</x:f>
        <x:v>32055</x:v>
      </x:c>
      <x:c r="K129" s="30"/>
      <x:c r="L129" s="25" t="str">
        <x:v>support</x:v>
      </x:c>
      <x:c r="M129" s="25" t="str">
        <x:v>Improves ability cooldowns globally and increases Hero experience gained in range.</x:v>
      </x:c>
      <x:c r="N129" s="25" t="str">
        <x:v>fixed_upgrade_price</x:v>
      </x:c>
      <x:c r="O129" s="30" t="n">
        <x:v>28000</x:v>
      </x:c>
      <x:c r="P129" s="25" t="str">
        <x:v>https://raw.githubusercontent.com/Btd6ModHelper/btd6-game-data/main/Towers/MonkeySub/MonkeySub-500.json</x:v>
      </x:c>
      <x:c r="Q129" s="25" t="str">
        <x:v>https://raw.githubusercontent.com/hemisemidemipresent/cyberquincy/master/jsons/costs.json</x:v>
      </x:c>
      <x:c r="R129" s="25" t="str">
        <x:v>https://raw.githubusercontent.com/Btd6ModHelper/btd6-game-data/main/textTable.json</x:v>
      </x:c>
      <x:c r="S129" s="25"/>
      <x:c r="T129" s="25"/>
    </x:row>
    <x:row r="130" ht="64" customHeight="1">
      <x:c r="A130" s="25" t="str">
        <x:v>Monkey Sub</x:v>
      </x:c>
      <x:c r="B130" s="80" t="str">
        <x:v>010</x:v>
      </x:c>
      <x:c r="C130" s="25" t="str">
        <x:v>middle</x:v>
      </x:c>
      <x:c r="D130" s="25" t="n">
        <x:v>1</x:v>
      </x:c>
      <x:c r="E130" s="25" t="str">
        <x:v>Barbed Darts</x:v>
      </x:c>
      <x:c r="F130" s="30" t="n">
        <x:v>450</x:v>
      </x:c>
      <x:c r="G130" s="30" t="n">
        <x:f>IF(F130="","",FLOOR(INT(F130*'Price rules'!$B$5),'Price rules'!$B$9)+IF(MOD(INT(F130*'Price rules'!$B$5),'Price rules'!$B$9)&lt;'Price rules'!$B$10,0,'Price rules'!$B$9))</x:f>
        <x:v>380</x:v>
      </x:c>
      <x:c r="H130" s="30" t="n">
        <x:f>IF(F130="","",FLOOR(INT(F130*'Price rules'!$B$7),'Price rules'!$B$9)+IF(MOD(INT(F130*'Price rules'!$B$7),'Price rules'!$B$9)&lt;'Price rules'!$B$10,0,'Price rules'!$B$9))</x:f>
        <x:v>485</x:v>
      </x:c>
      <x:c r="I130" s="30" t="n">
        <x:f>IF(F130="","",FLOOR(INT(F130*'Price rules'!$B$8),'Price rules'!$B$9)+IF(MOD(INT(F130*'Price rules'!$B$8),'Price rules'!$B$9)&lt;'Price rules'!$B$10,0,'Price rules'!$B$9))</x:f>
        <x:v>540</x:v>
      </x:c>
      <x:c r="J130" s="30" t="n">
        <x:f>IF(N130="conditional","",SUMIFS($F$5:$F$394,$A$5:$A$394,A130,$C$5:$C$394,C130,$D$5:$D$394,"&lt;="&amp;D130)+SUMIF(Towers!$A$5:$A$30,A130,Towers!$E$5:$E$30))</x:f>
        <x:v>775</x:v>
      </x:c>
      <x:c r="K130" s="30"/>
      <x:c r="L130" s="25" t="str">
        <x:v>basic_dps</x:v>
      </x:c>
      <x:c r="M130" s="25" t="str">
        <x:v>Adds three dart pierce and improves other weapons' pierce.</x:v>
      </x:c>
      <x:c r="N130" s="25" t="str">
        <x:v>fixed_upgrade_price</x:v>
      </x:c>
      <x:c r="O130" s="30" t="n">
        <x:v>450</x:v>
      </x:c>
      <x:c r="P130" s="25" t="str">
        <x:v>https://raw.githubusercontent.com/Btd6ModHelper/btd6-game-data/main/Towers/MonkeySub/MonkeySub-010.json</x:v>
      </x:c>
      <x:c r="Q130" s="25" t="str">
        <x:v>https://raw.githubusercontent.com/hemisemidemipresent/cyberquincy/master/jsons/costs.json</x:v>
      </x:c>
      <x:c r="R130" s="25" t="str">
        <x:v>https://raw.githubusercontent.com/Btd6ModHelper/btd6-game-data/main/textTable.json</x:v>
      </x:c>
      <x:c r="S130" s="25"/>
      <x:c r="T130" s="25"/>
    </x:row>
    <x:row r="131" ht="64" customHeight="1">
      <x:c r="A131" s="25" t="str">
        <x:v>Monkey Sub</x:v>
      </x:c>
      <x:c r="B131" s="80" t="str">
        <x:v>020</x:v>
      </x:c>
      <x:c r="C131" s="25" t="str">
        <x:v>middle</x:v>
      </x:c>
      <x:c r="D131" s="25" t="n">
        <x:v>2</x:v>
      </x:c>
      <x:c r="E131" s="25" t="str">
        <x:v>Heat-tipped Darts</x:v>
      </x:c>
      <x:c r="F131" s="30" t="n">
        <x:v>300</x:v>
      </x:c>
      <x:c r="G131" s="30" t="n">
        <x:f>IF(F131="","",FLOOR(INT(F131*'Price rules'!$B$5),'Price rules'!$B$9)+IF(MOD(INT(F131*'Price rules'!$B$5),'Price rules'!$B$9)&lt;'Price rules'!$B$10,0,'Price rules'!$B$9))</x:f>
        <x:v>255</x:v>
      </x:c>
      <x:c r="H131" s="30" t="n">
        <x:f>IF(F131="","",FLOOR(INT(F131*'Price rules'!$B$7),'Price rules'!$B$9)+IF(MOD(INT(F131*'Price rules'!$B$7),'Price rules'!$B$9)&lt;'Price rules'!$B$10,0,'Price rules'!$B$9))</x:f>
        <x:v>325</x:v>
      </x:c>
      <x:c r="I131" s="30" t="n">
        <x:f>IF(F131="","",FLOOR(INT(F131*'Price rules'!$B$8),'Price rules'!$B$9)+IF(MOD(INT(F131*'Price rules'!$B$8),'Price rules'!$B$9)&lt;'Price rules'!$B$10,0,'Price rules'!$B$9))</x:f>
        <x:v>360</x:v>
      </x:c>
      <x:c r="J131" s="30" t="n">
        <x:f>IF(N131="conditional","",SUMIFS($F$5:$F$394,$A$5:$A$394,A131,$C$5:$C$394,C131,$D$5:$D$394,"&lt;="&amp;D131)+SUMIF(Towers!$A$5:$A$30,A131,Towers!$E$5:$E$30))</x:f>
        <x:v>1075</x:v>
      </x:c>
      <x:c r="K131" s="30"/>
      <x:c r="L131" s="25" t="str">
        <x:v>basic_dps</x:v>
      </x:c>
      <x:c r="M131" s="25" t="str">
        <x:v>Allows darts to damage Lead and Frozen targets.</x:v>
      </x:c>
      <x:c r="N131" s="25" t="str">
        <x:v>fixed_upgrade_price</x:v>
      </x:c>
      <x:c r="O131" s="30" t="n">
        <x:v>300</x:v>
      </x:c>
      <x:c r="P131" s="25" t="str">
        <x:v>https://raw.githubusercontent.com/Btd6ModHelper/btd6-game-data/main/Towers/MonkeySub/MonkeySub-020.json</x:v>
      </x:c>
      <x:c r="Q131" s="25" t="str">
        <x:v>https://raw.githubusercontent.com/hemisemidemipresent/cyberquincy/master/jsons/costs.json</x:v>
      </x:c>
      <x:c r="R131" s="25" t="str">
        <x:v>https://raw.githubusercontent.com/Btd6ModHelper/btd6-game-data/main/textTable.json</x:v>
      </x:c>
      <x:c r="S131" s="25"/>
      <x:c r="T131" s="25"/>
    </x:row>
    <x:row r="132" ht="64" customHeight="1">
      <x:c r="A132" s="25" t="str">
        <x:v>Monkey Sub</x:v>
      </x:c>
      <x:c r="B132" s="80" t="str">
        <x:v>030</x:v>
      </x:c>
      <x:c r="C132" s="25" t="str">
        <x:v>middle</x:v>
      </x:c>
      <x:c r="D132" s="25" t="n">
        <x:v>3</x:v>
      </x:c>
      <x:c r="E132" s="25" t="str">
        <x:v>Ballistic Missile</x:v>
      </x:c>
      <x:c r="F132" s="30" t="n">
        <x:v>1350</x:v>
      </x:c>
      <x:c r="G132" s="30" t="n">
        <x:f>IF(F132="","",FLOOR(INT(F132*'Price rules'!$B$5),'Price rules'!$B$9)+IF(MOD(INT(F132*'Price rules'!$B$5),'Price rules'!$B$9)&lt;'Price rules'!$B$10,0,'Price rules'!$B$9))</x:f>
        <x:v>1145</x:v>
      </x:c>
      <x:c r="H132" s="30" t="n">
        <x:f>IF(F132="","",FLOOR(INT(F132*'Price rules'!$B$7),'Price rules'!$B$9)+IF(MOD(INT(F132*'Price rules'!$B$7),'Price rules'!$B$9)&lt;'Price rules'!$B$10,0,'Price rules'!$B$9))</x:f>
        <x:v>1460</x:v>
      </x:c>
      <x:c r="I132" s="30" t="n">
        <x:f>IF(F132="","",FLOOR(INT(F132*'Price rules'!$B$8),'Price rules'!$B$9)+IF(MOD(INT(F132*'Price rules'!$B$8),'Price rules'!$B$9)&lt;'Price rules'!$B$10,0,'Price rules'!$B$9))</x:f>
        <x:v>1620</x:v>
      </x:c>
      <x:c r="J132" s="30" t="n">
        <x:f>IF(N132="conditional","",SUMIFS($F$5:$F$394,$A$5:$A$394,A132,$C$5:$C$394,C132,$D$5:$D$394,"&lt;="&amp;D132)+SUMIF(Towers!$A$5:$A$30,A132,Towers!$E$5:$E$30))</x:f>
        <x:v>2425</x:v>
      </x:c>
      <x:c r="K132" s="30"/>
      <x:c r="L132" s="25" t="str">
        <x:v>tank_killer</x:v>
      </x:c>
      <x:c r="M132" s="25" t="str">
        <x:v>Adds missiles that cross obstacles and deal bonus MOAB and Ceramic damage.</x:v>
      </x:c>
      <x:c r="N132" s="25" t="str">
        <x:v>fixed_upgrade_price</x:v>
      </x:c>
      <x:c r="O132" s="30" t="n">
        <x:v>1350</x:v>
      </x:c>
      <x:c r="P132" s="25" t="str">
        <x:v>https://raw.githubusercontent.com/Btd6ModHelper/btd6-game-data/main/Towers/MonkeySub/MonkeySub-030.json</x:v>
      </x:c>
      <x:c r="Q132" s="25" t="str">
        <x:v>https://raw.githubusercontent.com/hemisemidemipresent/cyberquincy/master/jsons/costs.json</x:v>
      </x:c>
      <x:c r="R132" s="25" t="str">
        <x:v>https://raw.githubusercontent.com/Btd6ModHelper/btd6-game-data/main/textTable.json</x:v>
      </x:c>
      <x:c r="S132" s="25"/>
      <x:c r="T132" s="25"/>
    </x:row>
    <x:row r="133" ht="64" customHeight="1">
      <x:c r="A133" s="25" t="str">
        <x:v>Monkey Sub</x:v>
      </x:c>
      <x:c r="B133" s="80" t="str">
        <x:v>040</x:v>
      </x:c>
      <x:c r="C133" s="25" t="str">
        <x:v>middle</x:v>
      </x:c>
      <x:c r="D133" s="25" t="n">
        <x:v>4</x:v>
      </x:c>
      <x:c r="E133" s="25" t="str">
        <x:v>First Strike Capability</x:v>
      </x:c>
      <x:c r="F133" s="30" t="n">
        <x:v>13000</x:v>
      </x:c>
      <x:c r="G133" s="30" t="n">
        <x:f>IF(F133="","",FLOOR(INT(F133*'Price rules'!$B$5),'Price rules'!$B$9)+IF(MOD(INT(F133*'Price rules'!$B$5),'Price rules'!$B$9)&lt;'Price rules'!$B$10,0,'Price rules'!$B$9))</x:f>
        <x:v>11050</x:v>
      </x:c>
      <x:c r="H133" s="30" t="n">
        <x:f>IF(F133="","",FLOOR(INT(F133*'Price rules'!$B$7),'Price rules'!$B$9)+IF(MOD(INT(F133*'Price rules'!$B$7),'Price rules'!$B$9)&lt;'Price rules'!$B$10,0,'Price rules'!$B$9))</x:f>
        <x:v>14040</x:v>
      </x:c>
      <x:c r="I133" s="30" t="n">
        <x:f>IF(F133="","",FLOOR(INT(F133*'Price rules'!$B$8),'Price rules'!$B$9)+IF(MOD(INT(F133*'Price rules'!$B$8),'Price rules'!$B$9)&lt;'Price rules'!$B$10,0,'Price rules'!$B$9))</x:f>
        <x:v>15600</x:v>
      </x:c>
      <x:c r="J133" s="30" t="n">
        <x:f>IF(N133="conditional","",SUMIFS($F$5:$F$394,$A$5:$A$394,A133,$C$5:$C$394,C133,$D$5:$D$394,"&lt;="&amp;D133)+SUMIF(Towers!$A$5:$A$30,A133,Towers!$E$5:$E$30))</x:f>
        <x:v>15425</x:v>
      </x:c>
      <x:c r="K133" s="30"/>
      <x:c r="L133" s="25" t="str">
        <x:v>tank_killer</x:v>
      </x:c>
      <x:c r="M133" s="25" t="str">
        <x:v>Adds a large missile ability that targets the strongest Bloon and deals splash damage.</x:v>
      </x:c>
      <x:c r="N133" s="25" t="str">
        <x:v>fixed_upgrade_price</x:v>
      </x:c>
      <x:c r="O133" s="30" t="n">
        <x:v>13000</x:v>
      </x:c>
      <x:c r="P133" s="25" t="str">
        <x:v>https://raw.githubusercontent.com/Btd6ModHelper/btd6-game-data/main/Towers/MonkeySub/MonkeySub-040.json</x:v>
      </x:c>
      <x:c r="Q133" s="25" t="str">
        <x:v>https://raw.githubusercontent.com/hemisemidemipresent/cyberquincy/master/jsons/costs.json</x:v>
      </x:c>
      <x:c r="R133" s="25" t="str">
        <x:v>https://raw.githubusercontent.com/Btd6ModHelper/btd6-game-data/main/textTable.json</x:v>
      </x:c>
      <x:c r="S133" s="25"/>
      <x:c r="T133" s="25"/>
    </x:row>
    <x:row r="134" ht="64" customHeight="1">
      <x:c r="A134" s="25" t="str">
        <x:v>Monkey Sub</x:v>
      </x:c>
      <x:c r="B134" s="80" t="str">
        <x:v>050</x:v>
      </x:c>
      <x:c r="C134" s="25" t="str">
        <x:v>middle</x:v>
      </x:c>
      <x:c r="D134" s="25" t="n">
        <x:v>5</x:v>
      </x:c>
      <x:c r="E134" s="25" t="str">
        <x:v>Pre-emptive Strike</x:v>
      </x:c>
      <x:c r="F134" s="30" t="n">
        <x:v>29000</x:v>
      </x:c>
      <x:c r="G134" s="30" t="n">
        <x:f>IF(F134="","",FLOOR(INT(F134*'Price rules'!$B$5),'Price rules'!$B$9)+IF(MOD(INT(F134*'Price rules'!$B$5),'Price rules'!$B$9)&lt;'Price rules'!$B$10,0,'Price rules'!$B$9))</x:f>
        <x:v>24650</x:v>
      </x:c>
      <x:c r="H134" s="30" t="n">
        <x:f>IF(F134="","",FLOOR(INT(F134*'Price rules'!$B$7),'Price rules'!$B$9)+IF(MOD(INT(F134*'Price rules'!$B$7),'Price rules'!$B$9)&lt;'Price rules'!$B$10,0,'Price rules'!$B$9))</x:f>
        <x:v>31320</x:v>
      </x:c>
      <x:c r="I134" s="30" t="n">
        <x:f>IF(F134="","",FLOOR(INT(F134*'Price rules'!$B$8),'Price rules'!$B$9)+IF(MOD(INT(F134*'Price rules'!$B$8),'Price rules'!$B$9)&lt;'Price rules'!$B$10,0,'Price rules'!$B$9))</x:f>
        <x:v>34800</x:v>
      </x:c>
      <x:c r="J134" s="30" t="n">
        <x:f>IF(N134="conditional","",SUMIFS($F$5:$F$394,$A$5:$A$394,A134,$C$5:$C$394,C134,$D$5:$D$394,"&lt;="&amp;D134)+SUMIF(Towers!$A$5:$A$30,A134,Towers!$E$5:$E$30))</x:f>
        <x:v>44425</x:v>
      </x:c>
      <x:c r="K134" s="30"/>
      <x:c r="L134" s="25" t="str">
        <x:v>tank_killer</x:v>
      </x:c>
      <x:c r="M134" s="25" t="str">
        <x:v>Automatically strikes MOAB-class targets when they enter the map.</x:v>
      </x:c>
      <x:c r="N134" s="25" t="str">
        <x:v>fixed_upgrade_price</x:v>
      </x:c>
      <x:c r="O134" s="30" t="n">
        <x:v>29000</x:v>
      </x:c>
      <x:c r="P134" s="25" t="str">
        <x:v>https://raw.githubusercontent.com/Btd6ModHelper/btd6-game-data/main/Towers/MonkeySub/MonkeySub-050.json</x:v>
      </x:c>
      <x:c r="Q134" s="25" t="str">
        <x:v>https://raw.githubusercontent.com/hemisemidemipresent/cyberquincy/master/jsons/costs.json</x:v>
      </x:c>
      <x:c r="R134" s="25" t="str">
        <x:v>https://raw.githubusercontent.com/Btd6ModHelper/btd6-game-data/main/textTable.json</x:v>
      </x:c>
      <x:c r="S134" s="25"/>
      <x:c r="T134" s="25"/>
    </x:row>
    <x:row r="135" ht="64" customHeight="1">
      <x:c r="A135" s="25" t="str">
        <x:v>Monkey Sub</x:v>
      </x:c>
      <x:c r="B135" s="80" t="str">
        <x:v>001</x:v>
      </x:c>
      <x:c r="C135" s="25" t="str">
        <x:v>bottom</x:v>
      </x:c>
      <x:c r="D135" s="25" t="n">
        <x:v>1</x:v>
      </x:c>
      <x:c r="E135" s="25" t="str">
        <x:v>Twin Guns</x:v>
      </x:c>
      <x:c r="F135" s="30" t="n">
        <x:v>450</x:v>
      </x:c>
      <x:c r="G135" s="30" t="n">
        <x:f>IF(F135="","",FLOOR(INT(F135*'Price rules'!$B$5),'Price rules'!$B$9)+IF(MOD(INT(F135*'Price rules'!$B$5),'Price rules'!$B$9)&lt;'Price rules'!$B$10,0,'Price rules'!$B$9))</x:f>
        <x:v>380</x:v>
      </x:c>
      <x:c r="H135" s="30" t="n">
        <x:f>IF(F135="","",FLOOR(INT(F135*'Price rules'!$B$7),'Price rules'!$B$9)+IF(MOD(INT(F135*'Price rules'!$B$7),'Price rules'!$B$9)&lt;'Price rules'!$B$10,0,'Price rules'!$B$9))</x:f>
        <x:v>485</x:v>
      </x:c>
      <x:c r="I135" s="30" t="n">
        <x:f>IF(F135="","",FLOOR(INT(F135*'Price rules'!$B$8),'Price rules'!$B$9)+IF(MOD(INT(F135*'Price rules'!$B$8),'Price rules'!$B$9)&lt;'Price rules'!$B$10,0,'Price rules'!$B$9))</x:f>
        <x:v>540</x:v>
      </x:c>
      <x:c r="J135" s="30" t="n">
        <x:f>IF(N135="conditional","",SUMIFS($F$5:$F$394,$A$5:$A$394,A135,$C$5:$C$394,C135,$D$5:$D$394,"&lt;="&amp;D135)+SUMIF(Towers!$A$5:$A$30,A135,Towers!$E$5:$E$30))</x:f>
        <x:v>775</x:v>
      </x:c>
      <x:c r="K135" s="30"/>
      <x:c r="L135" s="25" t="str">
        <x:v>basic_dps</x:v>
      </x:c>
      <x:c r="M135" s="25" t="str">
        <x:v>Increases dart and other weapon attack speed.</x:v>
      </x:c>
      <x:c r="N135" s="25" t="str">
        <x:v>fixed_upgrade_price</x:v>
      </x:c>
      <x:c r="O135" s="30" t="n">
        <x:v>450</x:v>
      </x:c>
      <x:c r="P135" s="25" t="str">
        <x:v>https://raw.githubusercontent.com/Btd6ModHelper/btd6-game-data/main/Towers/MonkeySub/MonkeySub-001.json</x:v>
      </x:c>
      <x:c r="Q135" s="25" t="str">
        <x:v>https://raw.githubusercontent.com/hemisemidemipresent/cyberquincy/master/jsons/costs.json</x:v>
      </x:c>
      <x:c r="R135" s="25" t="str">
        <x:v>https://raw.githubusercontent.com/Btd6ModHelper/btd6-game-data/main/textTable.json</x:v>
      </x:c>
      <x:c r="S135" s="25"/>
      <x:c r="T135" s="25"/>
    </x:row>
    <x:row r="136" ht="64" customHeight="1">
      <x:c r="A136" s="25" t="str">
        <x:v>Monkey Sub</x:v>
      </x:c>
      <x:c r="B136" s="80" t="str">
        <x:v>002</x:v>
      </x:c>
      <x:c r="C136" s="25" t="str">
        <x:v>bottom</x:v>
      </x:c>
      <x:c r="D136" s="25" t="n">
        <x:v>2</x:v>
      </x:c>
      <x:c r="E136" s="25" t="str">
        <x:v>Airburst Darts</x:v>
      </x:c>
      <x:c r="F136" s="30" t="n">
        <x:v>1000</x:v>
      </x:c>
      <x:c r="G136" s="30" t="n">
        <x:f>IF(F136="","",FLOOR(INT(F136*'Price rules'!$B$5),'Price rules'!$B$9)+IF(MOD(INT(F136*'Price rules'!$B$5),'Price rules'!$B$9)&lt;'Price rules'!$B$10,0,'Price rules'!$B$9))</x:f>
        <x:v>850</x:v>
      </x:c>
      <x:c r="H136" s="30" t="n">
        <x:f>IF(F136="","",FLOOR(INT(F136*'Price rules'!$B$7),'Price rules'!$B$9)+IF(MOD(INT(F136*'Price rules'!$B$7),'Price rules'!$B$9)&lt;'Price rules'!$B$10,0,'Price rules'!$B$9))</x:f>
        <x:v>1080</x:v>
      </x:c>
      <x:c r="I136" s="30" t="n">
        <x:f>IF(F136="","",FLOOR(INT(F136*'Price rules'!$B$8),'Price rules'!$B$9)+IF(MOD(INT(F136*'Price rules'!$B$8),'Price rules'!$B$9)&lt;'Price rules'!$B$10,0,'Price rules'!$B$9))</x:f>
        <x:v>1200</x:v>
      </x:c>
      <x:c r="J136" s="30" t="n">
        <x:f>IF(N136="conditional","",SUMIFS($F$5:$F$394,$A$5:$A$394,A136,$C$5:$C$394,C136,$D$5:$D$394,"&lt;="&amp;D136)+SUMIF(Towers!$A$5:$A$30,A136,Towers!$E$5:$E$30))</x:f>
        <x:v>1775</x:v>
      </x:c>
      <x:c r="K136" s="30"/>
      <x:c r="L136" s="25" t="str">
        <x:v>basic_dps</x:v>
      </x:c>
      <x:c r="M136" s="25" t="str">
        <x:v>Darts split into three projectiles on impact.</x:v>
      </x:c>
      <x:c r="N136" s="25" t="str">
        <x:v>fixed_upgrade_price</x:v>
      </x:c>
      <x:c r="O136" s="30" t="n">
        <x:v>1000</x:v>
      </x:c>
      <x:c r="P136" s="25" t="str">
        <x:v>https://raw.githubusercontent.com/Btd6ModHelper/btd6-game-data/main/Towers/MonkeySub/MonkeySub-002.json</x:v>
      </x:c>
      <x:c r="Q136" s="25" t="str">
        <x:v>https://raw.githubusercontent.com/hemisemidemipresent/cyberquincy/master/jsons/costs.json</x:v>
      </x:c>
      <x:c r="R136" s="25" t="str">
        <x:v>https://raw.githubusercontent.com/Btd6ModHelper/btd6-game-data/main/textTable.json</x:v>
      </x:c>
      <x:c r="S136" s="25"/>
      <x:c r="T136" s="25"/>
    </x:row>
    <x:row r="137" ht="64" customHeight="1">
      <x:c r="A137" s="25" t="str">
        <x:v>Monkey Sub</x:v>
      </x:c>
      <x:c r="B137" s="80" t="str">
        <x:v>003</x:v>
      </x:c>
      <x:c r="C137" s="25" t="str">
        <x:v>bottom</x:v>
      </x:c>
      <x:c r="D137" s="25" t="n">
        <x:v>3</x:v>
      </x:c>
      <x:c r="E137" s="25" t="str">
        <x:v>Triple Guns</x:v>
      </x:c>
      <x:c r="F137" s="30" t="n">
        <x:v>1100</x:v>
      </x:c>
      <x:c r="G137" s="30" t="n">
        <x:f>IF(F137="","",FLOOR(INT(F137*'Price rules'!$B$5),'Price rules'!$B$9)+IF(MOD(INT(F137*'Price rules'!$B$5),'Price rules'!$B$9)&lt;'Price rules'!$B$10,0,'Price rules'!$B$9))</x:f>
        <x:v>935</x:v>
      </x:c>
      <x:c r="H137" s="30" t="n">
        <x:f>IF(F137="","",FLOOR(INT(F137*'Price rules'!$B$7),'Price rules'!$B$9)+IF(MOD(INT(F137*'Price rules'!$B$7),'Price rules'!$B$9)&lt;'Price rules'!$B$10,0,'Price rules'!$B$9))</x:f>
        <x:v>1190</x:v>
      </x:c>
      <x:c r="I137" s="30" t="n">
        <x:f>IF(F137="","",FLOOR(INT(F137*'Price rules'!$B$8),'Price rules'!$B$9)+IF(MOD(INT(F137*'Price rules'!$B$8),'Price rules'!$B$9)&lt;'Price rules'!$B$10,0,'Price rules'!$B$9))</x:f>
        <x:v>1320</x:v>
      </x:c>
      <x:c r="J137" s="30" t="n">
        <x:f>IF(N137="conditional","",SUMIFS($F$5:$F$394,$A$5:$A$394,A137,$C$5:$C$394,C137,$D$5:$D$394,"&lt;="&amp;D137)+SUMIF(Towers!$A$5:$A$30,A137,Towers!$E$5:$E$30))</x:f>
        <x:v>2875</x:v>
      </x:c>
      <x:c r="K137" s="30"/>
      <x:c r="L137" s="25" t="str">
        <x:v>rapid_fire</x:v>
      </x:c>
      <x:c r="M137" s="25" t="str">
        <x:v>Further increases firing speed.</x:v>
      </x:c>
      <x:c r="N137" s="25" t="str">
        <x:v>fixed_upgrade_price</x:v>
      </x:c>
      <x:c r="O137" s="30" t="n">
        <x:v>1100</x:v>
      </x:c>
      <x:c r="P137" s="25" t="str">
        <x:v>https://raw.githubusercontent.com/Btd6ModHelper/btd6-game-data/main/Towers/MonkeySub/MonkeySub-003.json</x:v>
      </x:c>
      <x:c r="Q137" s="25" t="str">
        <x:v>https://raw.githubusercontent.com/hemisemidemipresent/cyberquincy/master/jsons/costs.json</x:v>
      </x:c>
      <x:c r="R137" s="25" t="str">
        <x:v>https://raw.githubusercontent.com/Btd6ModHelper/btd6-game-data/main/textTable.json</x:v>
      </x:c>
      <x:c r="S137" s="25"/>
      <x:c r="T137" s="25"/>
    </x:row>
    <x:row r="138" ht="64" customHeight="1">
      <x:c r="A138" s="25" t="str">
        <x:v>Monkey Sub</x:v>
      </x:c>
      <x:c r="B138" s="80" t="str">
        <x:v>004</x:v>
      </x:c>
      <x:c r="C138" s="25" t="str">
        <x:v>bottom</x:v>
      </x:c>
      <x:c r="D138" s="25" t="n">
        <x:v>4</x:v>
      </x:c>
      <x:c r="E138" s="25" t="str">
        <x:v>Armor Piercing Darts</x:v>
      </x:c>
      <x:c r="F138" s="30" t="n">
        <x:v>2500</x:v>
      </x:c>
      <x:c r="G138" s="30" t="n">
        <x:f>IF(F138="","",FLOOR(INT(F138*'Price rules'!$B$5),'Price rules'!$B$9)+IF(MOD(INT(F138*'Price rules'!$B$5),'Price rules'!$B$9)&lt;'Price rules'!$B$10,0,'Price rules'!$B$9))</x:f>
        <x:v>2125</x:v>
      </x:c>
      <x:c r="H138" s="30" t="n">
        <x:f>IF(F138="","",FLOOR(INT(F138*'Price rules'!$B$7),'Price rules'!$B$9)+IF(MOD(INT(F138*'Price rules'!$B$7),'Price rules'!$B$9)&lt;'Price rules'!$B$10,0,'Price rules'!$B$9))</x:f>
        <x:v>2700</x:v>
      </x:c>
      <x:c r="I138" s="30" t="n">
        <x:f>IF(F138="","",FLOOR(INT(F138*'Price rules'!$B$8),'Price rules'!$B$9)+IF(MOD(INT(F138*'Price rules'!$B$8),'Price rules'!$B$9)&lt;'Price rules'!$B$10,0,'Price rules'!$B$9))</x:f>
        <x:v>3000</x:v>
      </x:c>
      <x:c r="J138" s="30" t="n">
        <x:f>IF(N138="conditional","",SUMIFS($F$5:$F$394,$A$5:$A$394,A138,$C$5:$C$394,C138,$D$5:$D$394,"&lt;="&amp;D138)+SUMIF(Towers!$A$5:$A$30,A138,Towers!$E$5:$E$30))</x:f>
        <x:v>5375</x:v>
      </x:c>
      <x:c r="K138" s="30"/>
      <x:c r="L138" s="25" t="str">
        <x:v>rapid_fire</x:v>
      </x:c>
      <x:c r="M138" s="25" t="str">
        <x:v>Improves damage and pierce, with bonuses against Fortified and MOAB-class targets.</x:v>
      </x:c>
      <x:c r="N138" s="25" t="str">
        <x:v>fixed_upgrade_price</x:v>
      </x:c>
      <x:c r="O138" s="30" t="n">
        <x:v>2500</x:v>
      </x:c>
      <x:c r="P138" s="25" t="str">
        <x:v>https://raw.githubusercontent.com/Btd6ModHelper/btd6-game-data/main/Towers/MonkeySub/MonkeySub-004.json</x:v>
      </x:c>
      <x:c r="Q138" s="25" t="str">
        <x:v>https://raw.githubusercontent.com/hemisemidemipresent/cyberquincy/master/jsons/costs.json</x:v>
      </x:c>
      <x:c r="R138" s="25" t="str">
        <x:v>https://raw.githubusercontent.com/Btd6ModHelper/btd6-game-data/main/textTable.json</x:v>
      </x:c>
      <x:c r="S138" s="25"/>
      <x:c r="T138" s="25"/>
    </x:row>
    <x:row r="139" ht="64" customHeight="1">
      <x:c r="A139" s="25" t="str">
        <x:v>Monkey Sub</x:v>
      </x:c>
      <x:c r="B139" s="80" t="str">
        <x:v>005</x:v>
      </x:c>
      <x:c r="C139" s="25" t="str">
        <x:v>bottom</x:v>
      </x:c>
      <x:c r="D139" s="25" t="n">
        <x:v>5</x:v>
      </x:c>
      <x:c r="E139" s="25" t="str">
        <x:v>Sub Commander</x:v>
      </x:c>
      <x:c r="F139" s="30" t="n">
        <x:v>25000</x:v>
      </x:c>
      <x:c r="G139" s="30" t="n">
        <x:f>IF(F139="","",FLOOR(INT(F139*'Price rules'!$B$5),'Price rules'!$B$9)+IF(MOD(INT(F139*'Price rules'!$B$5),'Price rules'!$B$9)&lt;'Price rules'!$B$10,0,'Price rules'!$B$9))</x:f>
        <x:v>21250</x:v>
      </x:c>
      <x:c r="H139" s="30" t="n">
        <x:f>IF(F139="","",FLOOR(INT(F139*'Price rules'!$B$7),'Price rules'!$B$9)+IF(MOD(INT(F139*'Price rules'!$B$7),'Price rules'!$B$9)&lt;'Price rules'!$B$10,0,'Price rules'!$B$9))</x:f>
        <x:v>27000</x:v>
      </x:c>
      <x:c r="I139" s="30" t="n">
        <x:f>IF(F139="","",FLOOR(INT(F139*'Price rules'!$B$8),'Price rules'!$B$9)+IF(MOD(INT(F139*'Price rules'!$B$8),'Price rules'!$B$9)&lt;'Price rules'!$B$10,0,'Price rules'!$B$9))</x:f>
        <x:v>30000</x:v>
      </x:c>
      <x:c r="J139" s="30" t="n">
        <x:f>IF(N139="conditional","",SUMIFS($F$5:$F$394,$A$5:$A$394,A139,$C$5:$C$394,C139,$D$5:$D$394,"&lt;="&amp;D139)+SUMIF(Towers!$A$5:$A$30,A139,Towers!$E$5:$E$30))</x:f>
        <x:v>30375</x:v>
      </x:c>
      <x:c r="K139" s="30"/>
      <x:c r="L139" s="25" t="str">
        <x:v>rapid_fire</x:v>
      </x:c>
      <x:c r="M139" s="25" t="str">
        <x:v>Increases its own damage and pierce and buffs nearby Subs.</x:v>
      </x:c>
      <x:c r="N139" s="25" t="str">
        <x:v>fixed_upgrade_price</x:v>
      </x:c>
      <x:c r="O139" s="30" t="n">
        <x:v>25000</x:v>
      </x:c>
      <x:c r="P139" s="25" t="str">
        <x:v>https://raw.githubusercontent.com/Btd6ModHelper/btd6-game-data/main/Towers/MonkeySub/MonkeySub-005.json</x:v>
      </x:c>
      <x:c r="Q139" s="25" t="str">
        <x:v>https://raw.githubusercontent.com/hemisemidemipresent/cyberquincy/master/jsons/costs.json</x:v>
      </x:c>
      <x:c r="R139" s="25" t="str">
        <x:v>https://raw.githubusercontent.com/Btd6ModHelper/btd6-game-data/main/textTable.json</x:v>
      </x:c>
      <x:c r="S139" s="25"/>
      <x:c r="T139" s="25"/>
    </x:row>
    <x:row r="140" ht="64" customHeight="1">
      <x:c r="A140" s="25" t="str">
        <x:v>Monkey Buccaneer</x:v>
      </x:c>
      <x:c r="B140" s="80" t="str">
        <x:v>100</x:v>
      </x:c>
      <x:c r="C140" s="25" t="str">
        <x:v>top</x:v>
      </x:c>
      <x:c r="D140" s="25" t="n">
        <x:v>1</x:v>
      </x:c>
      <x:c r="E140" s="25" t="str">
        <x:v>Faster Shooting</x:v>
      </x:c>
      <x:c r="F140" s="30" t="n">
        <x:v>275</x:v>
      </x:c>
      <x:c r="G140" s="30" t="n">
        <x:f>IF(F140="","",FLOOR(INT(F140*'Price rules'!$B$5),'Price rules'!$B$9)+IF(MOD(INT(F140*'Price rules'!$B$5),'Price rules'!$B$9)&lt;'Price rules'!$B$10,0,'Price rules'!$B$9))</x:f>
        <x:v>235</x:v>
      </x:c>
      <x:c r="H140" s="30" t="n">
        <x:f>IF(F140="","",FLOOR(INT(F140*'Price rules'!$B$7),'Price rules'!$B$9)+IF(MOD(INT(F140*'Price rules'!$B$7),'Price rules'!$B$9)&lt;'Price rules'!$B$10,0,'Price rules'!$B$9))</x:f>
        <x:v>295</x:v>
      </x:c>
      <x:c r="I140" s="30" t="n">
        <x:f>IF(F140="","",FLOOR(INT(F140*'Price rules'!$B$8),'Price rules'!$B$9)+IF(MOD(INT(F140*'Price rules'!$B$8),'Price rules'!$B$9)&lt;'Price rules'!$B$10,0,'Price rules'!$B$9))</x:f>
        <x:v>330</x:v>
      </x:c>
      <x:c r="J140" s="30" t="n">
        <x:f>IF(N140="conditional","",SUMIFS($F$5:$F$394,$A$5:$A$394,A140,$C$5:$C$394,C140,$D$5:$D$394,"&lt;="&amp;D140)+SUMIF(Towers!$A$5:$A$30,A140,Towers!$E$5:$E$30))</x:f>
        <x:v>675</x:v>
      </x:c>
      <x:c r="K140" s="30"/>
      <x:c r="L140" s="25" t="str">
        <x:v>basic_dps</x:v>
      </x:c>
      <x:c r="M140" s="25" t="str">
        <x:v>Increases the firing speed of ship weapons.</x:v>
      </x:c>
      <x:c r="N140" s="25" t="str">
        <x:v>fixed_upgrade_price</x:v>
      </x:c>
      <x:c r="O140" s="30" t="n">
        <x:v>275</x:v>
      </x:c>
      <x:c r="P140" s="25" t="str">
        <x:v>https://raw.githubusercontent.com/Btd6ModHelper/btd6-game-data/main/Towers/MonkeyBuccaneer/MonkeyBuccaneer-100.json</x:v>
      </x:c>
      <x:c r="Q140" s="25" t="str">
        <x:v>https://raw.githubusercontent.com/hemisemidemipresent/cyberquincy/master/jsons/costs.json</x:v>
      </x:c>
      <x:c r="R140" s="25" t="str">
        <x:v>https://raw.githubusercontent.com/Btd6ModHelper/btd6-game-data/main/textTable.json</x:v>
      </x:c>
      <x:c r="S140" s="25"/>
      <x:c r="T140" s="25"/>
    </x:row>
    <x:row r="141" ht="64" customHeight="1">
      <x:c r="A141" s="25" t="str">
        <x:v>Monkey Buccaneer</x:v>
      </x:c>
      <x:c r="B141" s="80" t="str">
        <x:v>200</x:v>
      </x:c>
      <x:c r="C141" s="25" t="str">
        <x:v>top</x:v>
      </x:c>
      <x:c r="D141" s="25" t="n">
        <x:v>2</x:v>
      </x:c>
      <x:c r="E141" s="25" t="str">
        <x:v>Double Shot</x:v>
      </x:c>
      <x:c r="F141" s="30" t="n">
        <x:v>425</x:v>
      </x:c>
      <x:c r="G141" s="30" t="n">
        <x:f>IF(F141="","",FLOOR(INT(F141*'Price rules'!$B$5),'Price rules'!$B$9)+IF(MOD(INT(F141*'Price rules'!$B$5),'Price rules'!$B$9)&lt;'Price rules'!$B$10,0,'Price rules'!$B$9))</x:f>
        <x:v>360</x:v>
      </x:c>
      <x:c r="H141" s="30" t="n">
        <x:f>IF(F141="","",FLOOR(INT(F141*'Price rules'!$B$7),'Price rules'!$B$9)+IF(MOD(INT(F141*'Price rules'!$B$7),'Price rules'!$B$9)&lt;'Price rules'!$B$10,0,'Price rules'!$B$9))</x:f>
        <x:v>460</x:v>
      </x:c>
      <x:c r="I141" s="30" t="n">
        <x:f>IF(F141="","",FLOOR(INT(F141*'Price rules'!$B$8),'Price rules'!$B$9)+IF(MOD(INT(F141*'Price rules'!$B$8),'Price rules'!$B$9)&lt;'Price rules'!$B$10,0,'Price rules'!$B$9))</x:f>
        <x:v>510</x:v>
      </x:c>
      <x:c r="J141" s="30" t="n">
        <x:f>IF(N141="conditional","",SUMIFS($F$5:$F$394,$A$5:$A$394,A141,$C$5:$C$394,C141,$D$5:$D$394,"&lt;="&amp;D141)+SUMIF(Towers!$A$5:$A$30,A141,Towers!$E$5:$E$30))</x:f>
        <x:v>1100</x:v>
      </x:c>
      <x:c r="K141" s="30"/>
      <x:c r="L141" s="25" t="str">
        <x:v>basic_dps</x:v>
      </x:c>
      <x:c r="M141" s="25" t="str">
        <x:v>Increases the number of projectiles fired.</x:v>
      </x:c>
      <x:c r="N141" s="25" t="str">
        <x:v>fixed_upgrade_price</x:v>
      </x:c>
      <x:c r="O141" s="30" t="n">
        <x:v>425</x:v>
      </x:c>
      <x:c r="P141" s="25" t="str">
        <x:v>https://raw.githubusercontent.com/Btd6ModHelper/btd6-game-data/main/Towers/MonkeyBuccaneer/MonkeyBuccaneer-200.json</x:v>
      </x:c>
      <x:c r="Q141" s="25" t="str">
        <x:v>https://raw.githubusercontent.com/hemisemidemipresent/cyberquincy/master/jsons/costs.json</x:v>
      </x:c>
      <x:c r="R141" s="25" t="str">
        <x:v>https://raw.githubusercontent.com/Btd6ModHelper/btd6-game-data/main/textTable.json</x:v>
      </x:c>
      <x:c r="S141" s="25"/>
      <x:c r="T141" s="25"/>
    </x:row>
    <x:row r="142" ht="64" customHeight="1">
      <x:c r="A142" s="25" t="str">
        <x:v>Monkey Buccaneer</x:v>
      </x:c>
      <x:c r="B142" s="80" t="str">
        <x:v>300</x:v>
      </x:c>
      <x:c r="C142" s="25" t="str">
        <x:v>top</x:v>
      </x:c>
      <x:c r="D142" s="25" t="n">
        <x:v>3</x:v>
      </x:c>
      <x:c r="E142" s="25" t="str">
        <x:v>Destroyer</x:v>
      </x:c>
      <x:c r="F142" s="30" t="n">
        <x:v>3350</x:v>
      </x:c>
      <x:c r="G142" s="30" t="n">
        <x:f>IF(F142="","",FLOOR(INT(F142*'Price rules'!$B$5),'Price rules'!$B$9)+IF(MOD(INT(F142*'Price rules'!$B$5),'Price rules'!$B$9)&lt;'Price rules'!$B$10,0,'Price rules'!$B$9))</x:f>
        <x:v>2845</x:v>
      </x:c>
      <x:c r="H142" s="30" t="n">
        <x:f>IF(F142="","",FLOOR(INT(F142*'Price rules'!$B$7),'Price rules'!$B$9)+IF(MOD(INT(F142*'Price rules'!$B$7),'Price rules'!$B$9)&lt;'Price rules'!$B$10,0,'Price rules'!$B$9))</x:f>
        <x:v>3620</x:v>
      </x:c>
      <x:c r="I142" s="30" t="n">
        <x:f>IF(F142="","",FLOOR(INT(F142*'Price rules'!$B$8),'Price rules'!$B$9)+IF(MOD(INT(F142*'Price rules'!$B$8),'Price rules'!$B$9)&lt;'Price rules'!$B$10,0,'Price rules'!$B$9))</x:f>
        <x:v>4020</x:v>
      </x:c>
      <x:c r="J142" s="30" t="n">
        <x:f>IF(N142="conditional","",SUMIFS($F$5:$F$394,$A$5:$A$394,A142,$C$5:$C$394,C142,$D$5:$D$394,"&lt;="&amp;D142)+SUMIF(Towers!$A$5:$A$30,A142,Towers!$E$5:$E$30))</x:f>
        <x:v>4450</x:v>
      </x:c>
      <x:c r="K142" s="30"/>
      <x:c r="L142" s="25" t="str">
        <x:v>rapid_fire</x:v>
      </x:c>
      <x:c r="M142" s="25" t="str">
        <x:v>Greatly increases firing speed.</x:v>
      </x:c>
      <x:c r="N142" s="25" t="str">
        <x:v>fixed_upgrade_price</x:v>
      </x:c>
      <x:c r="O142" s="30" t="n">
        <x:v>3350</x:v>
      </x:c>
      <x:c r="P142" s="25" t="str">
        <x:v>https://raw.githubusercontent.com/Btd6ModHelper/btd6-game-data/main/Towers/MonkeyBuccaneer/MonkeyBuccaneer-300.json</x:v>
      </x:c>
      <x:c r="Q142" s="25" t="str">
        <x:v>https://raw.githubusercontent.com/hemisemidemipresent/cyberquincy/master/jsons/costs.json</x:v>
      </x:c>
      <x:c r="R142" s="25" t="str">
        <x:v>https://raw.githubusercontent.com/Btd6ModHelper/btd6-game-data/main/textTable.json</x:v>
      </x:c>
      <x:c r="S142" s="25"/>
      <x:c r="T142" s="25"/>
    </x:row>
    <x:row r="143" ht="64" customHeight="1">
      <x:c r="A143" s="25" t="str">
        <x:v>Monkey Buccaneer</x:v>
      </x:c>
      <x:c r="B143" s="80" t="str">
        <x:v>400</x:v>
      </x:c>
      <x:c r="C143" s="25" t="str">
        <x:v>top</x:v>
      </x:c>
      <x:c r="D143" s="25" t="n">
        <x:v>4</x:v>
      </x:c>
      <x:c r="E143" s="25" t="str">
        <x:v>Aircraft Carrier</x:v>
      </x:c>
      <x:c r="F143" s="30" t="n">
        <x:v>8000</x:v>
      </x:c>
      <x:c r="G143" s="30" t="n">
        <x:f>IF(F143="","",FLOOR(INT(F143*'Price rules'!$B$5),'Price rules'!$B$9)+IF(MOD(INT(F143*'Price rules'!$B$5),'Price rules'!$B$9)&lt;'Price rules'!$B$10,0,'Price rules'!$B$9))</x:f>
        <x:v>6800</x:v>
      </x:c>
      <x:c r="H143" s="30" t="n">
        <x:f>IF(F143="","",FLOOR(INT(F143*'Price rules'!$B$7),'Price rules'!$B$9)+IF(MOD(INT(F143*'Price rules'!$B$7),'Price rules'!$B$9)&lt;'Price rules'!$B$10,0,'Price rules'!$B$9))</x:f>
        <x:v>8640</x:v>
      </x:c>
      <x:c r="I143" s="30" t="n">
        <x:f>IF(F143="","",FLOOR(INT(F143*'Price rules'!$B$8),'Price rules'!$B$9)+IF(MOD(INT(F143*'Price rules'!$B$8),'Price rules'!$B$9)&lt;'Price rules'!$B$10,0,'Price rules'!$B$9))</x:f>
        <x:v>9600</x:v>
      </x:c>
      <x:c r="J143" s="30" t="n">
        <x:f>IF(N143="conditional","",SUMIFS($F$5:$F$394,$A$5:$A$394,A143,$C$5:$C$394,C143,$D$5:$D$394,"&lt;="&amp;D143)+SUMIF(Towers!$A$5:$A$30,A143,Towers!$E$5:$E$30))</x:f>
        <x:v>12450</x:v>
      </x:c>
      <x:c r="K143" s="30"/>
      <x:c r="L143" s="25" t="str">
        <x:v>summoner</x:v>
      </x:c>
      <x:c r="M143" s="25" t="str">
        <x:v>Launches fighter planes with dart attacks and anti-MOAB missiles.</x:v>
      </x:c>
      <x:c r="N143" s="25" t="str">
        <x:v>fixed_upgrade_price</x:v>
      </x:c>
      <x:c r="O143" s="30" t="n">
        <x:v>8000</x:v>
      </x:c>
      <x:c r="P143" s="25" t="str">
        <x:v>https://raw.githubusercontent.com/Btd6ModHelper/btd6-game-data/main/Towers/MonkeyBuccaneer/MonkeyBuccaneer-400.json</x:v>
      </x:c>
      <x:c r="Q143" s="25" t="str">
        <x:v>https://raw.githubusercontent.com/hemisemidemipresent/cyberquincy/master/jsons/costs.json</x:v>
      </x:c>
      <x:c r="R143" s="25" t="str">
        <x:v>https://raw.githubusercontent.com/Btd6ModHelper/btd6-game-data/main/textTable.json</x:v>
      </x:c>
      <x:c r="S143" s="25"/>
      <x:c r="T143" s="25"/>
    </x:row>
    <x:row r="144" ht="64" customHeight="1">
      <x:c r="A144" s="25" t="str">
        <x:v>Monkey Buccaneer</x:v>
      </x:c>
      <x:c r="B144" s="80" t="str">
        <x:v>500</x:v>
      </x:c>
      <x:c r="C144" s="25" t="str">
        <x:v>top</x:v>
      </x:c>
      <x:c r="D144" s="25" t="n">
        <x:v>5</x:v>
      </x:c>
      <x:c r="E144" s="25" t="str">
        <x:v>Carrier Flagship</x:v>
      </x:c>
      <x:c r="F144" s="30" t="n">
        <x:v>26000</x:v>
      </x:c>
      <x:c r="G144" s="30" t="n">
        <x:f>IF(F144="","",FLOOR(INT(F144*'Price rules'!$B$5),'Price rules'!$B$9)+IF(MOD(INT(F144*'Price rules'!$B$5),'Price rules'!$B$9)&lt;'Price rules'!$B$10,0,'Price rules'!$B$9))</x:f>
        <x:v>22100</x:v>
      </x:c>
      <x:c r="H144" s="30" t="n">
        <x:f>IF(F144="","",FLOOR(INT(F144*'Price rules'!$B$7),'Price rules'!$B$9)+IF(MOD(INT(F144*'Price rules'!$B$7),'Price rules'!$B$9)&lt;'Price rules'!$B$10,0,'Price rules'!$B$9))</x:f>
        <x:v>28080</x:v>
      </x:c>
      <x:c r="I144" s="30" t="n">
        <x:f>IF(F144="","",FLOOR(INT(F144*'Price rules'!$B$8),'Price rules'!$B$9)+IF(MOD(INT(F144*'Price rules'!$B$8),'Price rules'!$B$9)&lt;'Price rules'!$B$10,0,'Price rules'!$B$9))</x:f>
        <x:v>31200</x:v>
      </x:c>
      <x:c r="J144" s="30" t="n">
        <x:f>IF(N144="conditional","",SUMIFS($F$5:$F$394,$A$5:$A$394,A144,$C$5:$C$394,C144,$D$5:$D$394,"&lt;="&amp;D144)+SUMIF(Towers!$A$5:$A$30,A144,Towers!$E$5:$E$30))</x:f>
        <x:v>38450</x:v>
      </x:c>
      <x:c r="K144" s="30"/>
      <x:c r="L144" s="25" t="str">
        <x:v>summoner</x:v>
      </x:c>
      <x:c r="M144" s="25" t="str">
        <x:v>Improves aircraft, adds land-tower platforms, and buffs water towers and Monkey Aces.</x:v>
      </x:c>
      <x:c r="N144" s="25" t="str">
        <x:v>fixed_upgrade_price</x:v>
      </x:c>
      <x:c r="O144" s="30" t="n">
        <x:v>26000</x:v>
      </x:c>
      <x:c r="P144" s="25" t="str">
        <x:v>https://raw.githubusercontent.com/Btd6ModHelper/btd6-game-data/main/Towers/MonkeyBuccaneer/MonkeyBuccaneer-500.json</x:v>
      </x:c>
      <x:c r="Q144" s="25" t="str">
        <x:v>https://raw.githubusercontent.com/hemisemidemipresent/cyberquincy/master/jsons/costs.json</x:v>
      </x:c>
      <x:c r="R144" s="25" t="str">
        <x:v>https://raw.githubusercontent.com/Btd6ModHelper/btd6-game-data/main/textTable.json</x:v>
      </x:c>
      <x:c r="S144" s="25"/>
      <x:c r="T144" s="25"/>
    </x:row>
    <x:row r="145" ht="64" customHeight="1">
      <x:c r="A145" s="25" t="str">
        <x:v>Monkey Buccaneer</x:v>
      </x:c>
      <x:c r="B145" s="80" t="str">
        <x:v>010</x:v>
      </x:c>
      <x:c r="C145" s="25" t="str">
        <x:v>middle</x:v>
      </x:c>
      <x:c r="D145" s="25" t="n">
        <x:v>1</x:v>
      </x:c>
      <x:c r="E145" s="25" t="str">
        <x:v>Grape Shot</x:v>
      </x:c>
      <x:c r="F145" s="30" t="n">
        <x:v>550</x:v>
      </x:c>
      <x:c r="G145" s="30" t="n">
        <x:f>IF(F145="","",FLOOR(INT(F145*'Price rules'!$B$5),'Price rules'!$B$9)+IF(MOD(INT(F145*'Price rules'!$B$5),'Price rules'!$B$9)&lt;'Price rules'!$B$10,0,'Price rules'!$B$9))</x:f>
        <x:v>465</x:v>
      </x:c>
      <x:c r="H145" s="30" t="n">
        <x:f>IF(F145="","",FLOOR(INT(F145*'Price rules'!$B$7),'Price rules'!$B$9)+IF(MOD(INT(F145*'Price rules'!$B$7),'Price rules'!$B$9)&lt;'Price rules'!$B$10,0,'Price rules'!$B$9))</x:f>
        <x:v>595</x:v>
      </x:c>
      <x:c r="I145" s="30" t="n">
        <x:f>IF(F145="","",FLOOR(INT(F145*'Price rules'!$B$8),'Price rules'!$B$9)+IF(MOD(INT(F145*'Price rules'!$B$8),'Price rules'!$B$9)&lt;'Price rules'!$B$10,0,'Price rules'!$B$9))</x:f>
        <x:v>660</x:v>
      </x:c>
      <x:c r="J145" s="30" t="n">
        <x:f>IF(N145="conditional","",SUMIFS($F$5:$F$394,$A$5:$A$394,A145,$C$5:$C$394,C145,$D$5:$D$394,"&lt;="&amp;D145)+SUMIF(Towers!$A$5:$A$30,A145,Towers!$E$5:$E$30))</x:f>
        <x:v>950</x:v>
      </x:c>
      <x:c r="K145" s="30"/>
      <x:c r="L145" s="25" t="str">
        <x:v>basic_dps</x:v>
      </x:c>
      <x:c r="M145" s="25" t="str">
        <x:v>Adds a five-projectile grape attack.</x:v>
      </x:c>
      <x:c r="N145" s="25" t="str">
        <x:v>fixed_upgrade_price</x:v>
      </x:c>
      <x:c r="O145" s="30" t="n">
        <x:v>550</x:v>
      </x:c>
      <x:c r="P145" s="25" t="str">
        <x:v>https://raw.githubusercontent.com/Btd6ModHelper/btd6-game-data/main/Towers/MonkeyBuccaneer/MonkeyBuccaneer-010.json</x:v>
      </x:c>
      <x:c r="Q145" s="25" t="str">
        <x:v>https://raw.githubusercontent.com/hemisemidemipresent/cyberquincy/master/jsons/costs.json</x:v>
      </x:c>
      <x:c r="R145" s="25" t="str">
        <x:v>https://raw.githubusercontent.com/Btd6ModHelper/btd6-game-data/main/textTable.json</x:v>
      </x:c>
      <x:c r="S145" s="25"/>
      <x:c r="T145" s="25"/>
    </x:row>
    <x:row r="146" ht="64" customHeight="1">
      <x:c r="A146" s="25" t="str">
        <x:v>Monkey Buccaneer</x:v>
      </x:c>
      <x:c r="B146" s="80" t="str">
        <x:v>020</x:v>
      </x:c>
      <x:c r="C146" s="25" t="str">
        <x:v>middle</x:v>
      </x:c>
      <x:c r="D146" s="25" t="n">
        <x:v>2</x:v>
      </x:c>
      <x:c r="E146" s="25" t="str">
        <x:v>Hot Shot</x:v>
      </x:c>
      <x:c r="F146" s="30" t="n">
        <x:v>500</x:v>
      </x:c>
      <x:c r="G146" s="30" t="n">
        <x:f>IF(F146="","",FLOOR(INT(F146*'Price rules'!$B$5),'Price rules'!$B$9)+IF(MOD(INT(F146*'Price rules'!$B$5),'Price rules'!$B$9)&lt;'Price rules'!$B$10,0,'Price rules'!$B$9))</x:f>
        <x:v>425</x:v>
      </x:c>
      <x:c r="H146" s="30" t="n">
        <x:f>IF(F146="","",FLOOR(INT(F146*'Price rules'!$B$7),'Price rules'!$B$9)+IF(MOD(INT(F146*'Price rules'!$B$7),'Price rules'!$B$9)&lt;'Price rules'!$B$10,0,'Price rules'!$B$9))</x:f>
        <x:v>540</x:v>
      </x:c>
      <x:c r="I146" s="30" t="n">
        <x:f>IF(F146="","",FLOOR(INT(F146*'Price rules'!$B$8),'Price rules'!$B$9)+IF(MOD(INT(F146*'Price rules'!$B$8),'Price rules'!$B$9)&lt;'Price rules'!$B$10,0,'Price rules'!$B$9))</x:f>
        <x:v>600</x:v>
      </x:c>
      <x:c r="J146" s="30" t="n">
        <x:f>IF(N146="conditional","",SUMIFS($F$5:$F$394,$A$5:$A$394,A146,$C$5:$C$394,C146,$D$5:$D$394,"&lt;="&amp;D146)+SUMIF(Towers!$A$5:$A$30,A146,Towers!$E$5:$E$30))</x:f>
        <x:v>1450</x:v>
      </x:c>
      <x:c r="K146" s="30"/>
      <x:c r="L146" s="25" t="str">
        <x:v>basic_dps</x:v>
      </x:c>
      <x:c r="M146" s="25" t="str">
        <x:v>Grapes ignite targets and damage Lead.</x:v>
      </x:c>
      <x:c r="N146" s="25" t="str">
        <x:v>fixed_upgrade_price</x:v>
      </x:c>
      <x:c r="O146" s="30" t="n">
        <x:v>500</x:v>
      </x:c>
      <x:c r="P146" s="25" t="str">
        <x:v>https://raw.githubusercontent.com/Btd6ModHelper/btd6-game-data/main/Towers/MonkeyBuccaneer/MonkeyBuccaneer-020.json</x:v>
      </x:c>
      <x:c r="Q146" s="25" t="str">
        <x:v>https://raw.githubusercontent.com/hemisemidemipresent/cyberquincy/master/jsons/costs.json</x:v>
      </x:c>
      <x:c r="R146" s="25" t="str">
        <x:v>https://raw.githubusercontent.com/Btd6ModHelper/btd6-game-data/main/textTable.json</x:v>
      </x:c>
      <x:c r="S146" s="25"/>
      <x:c r="T146" s="25"/>
    </x:row>
    <x:row r="147" ht="64" customHeight="1">
      <x:c r="A147" s="25" t="str">
        <x:v>Monkey Buccaneer</x:v>
      </x:c>
      <x:c r="B147" s="80" t="str">
        <x:v>030</x:v>
      </x:c>
      <x:c r="C147" s="25" t="str">
        <x:v>middle</x:v>
      </x:c>
      <x:c r="D147" s="25" t="n">
        <x:v>3</x:v>
      </x:c>
      <x:c r="E147" s="25" t="str">
        <x:v>Cannon Ship</x:v>
      </x:c>
      <x:c r="F147" s="30" t="n">
        <x:v>900</x:v>
      </x:c>
      <x:c r="G147" s="30" t="n">
        <x:f>IF(F147="","",FLOOR(INT(F147*'Price rules'!$B$5),'Price rules'!$B$9)+IF(MOD(INT(F147*'Price rules'!$B$5),'Price rules'!$B$9)&lt;'Price rules'!$B$10,0,'Price rules'!$B$9))</x:f>
        <x:v>765</x:v>
      </x:c>
      <x:c r="H147" s="30" t="n">
        <x:f>IF(F147="","",FLOOR(INT(F147*'Price rules'!$B$7),'Price rules'!$B$9)+IF(MOD(INT(F147*'Price rules'!$B$7),'Price rules'!$B$9)&lt;'Price rules'!$B$10,0,'Price rules'!$B$9))</x:f>
        <x:v>970</x:v>
      </x:c>
      <x:c r="I147" s="30" t="n">
        <x:f>IF(F147="","",FLOOR(INT(F147*'Price rules'!$B$8),'Price rules'!$B$9)+IF(MOD(INT(F147*'Price rules'!$B$8),'Price rules'!$B$9)&lt;'Price rules'!$B$10,0,'Price rules'!$B$9))</x:f>
        <x:v>1080</x:v>
      </x:c>
      <x:c r="J147" s="30" t="n">
        <x:f>IF(N147="conditional","",SUMIFS($F$5:$F$394,$A$5:$A$394,A147,$C$5:$C$394,C147,$D$5:$D$394,"&lt;="&amp;D147)+SUMIF(Towers!$A$5:$A$30,A147,Towers!$E$5:$E$30))</x:f>
        <x:v>2350</x:v>
      </x:c>
      <x:c r="K147" s="30"/>
      <x:c r="L147" s="25" t="str">
        <x:v>splash</x:v>
      </x:c>
      <x:c r="M147" s="25" t="str">
        <x:v>Adds explosive cannon attacks.</x:v>
      </x:c>
      <x:c r="N147" s="25" t="str">
        <x:v>fixed_upgrade_price</x:v>
      </x:c>
      <x:c r="O147" s="30" t="n">
        <x:v>900</x:v>
      </x:c>
      <x:c r="P147" s="25" t="str">
        <x:v>https://raw.githubusercontent.com/Btd6ModHelper/btd6-game-data/main/Towers/MonkeyBuccaneer/MonkeyBuccaneer-030.json</x:v>
      </x:c>
      <x:c r="Q147" s="25" t="str">
        <x:v>https://raw.githubusercontent.com/hemisemidemipresent/cyberquincy/master/jsons/costs.json</x:v>
      </x:c>
      <x:c r="R147" s="25" t="str">
        <x:v>https://raw.githubusercontent.com/Btd6ModHelper/btd6-game-data/main/textTable.json</x:v>
      </x:c>
      <x:c r="S147" s="25"/>
      <x:c r="T147" s="25"/>
    </x:row>
    <x:row r="148" ht="64" customHeight="1">
      <x:c r="A148" s="25" t="str">
        <x:v>Monkey Buccaneer</x:v>
      </x:c>
      <x:c r="B148" s="80" t="str">
        <x:v>040</x:v>
      </x:c>
      <x:c r="C148" s="25" t="str">
        <x:v>middle</x:v>
      </x:c>
      <x:c r="D148" s="25" t="n">
        <x:v>4</x:v>
      </x:c>
      <x:c r="E148" s="25" t="str">
        <x:v>Monkey Pirates</x:v>
      </x:c>
      <x:c r="F148" s="30" t="n">
        <x:v>3900</x:v>
      </x:c>
      <x:c r="G148" s="30" t="n">
        <x:f>IF(F148="","",FLOOR(INT(F148*'Price rules'!$B$5),'Price rules'!$B$9)+IF(MOD(INT(F148*'Price rules'!$B$5),'Price rules'!$B$9)&lt;'Price rules'!$B$10,0,'Price rules'!$B$9))</x:f>
        <x:v>3315</x:v>
      </x:c>
      <x:c r="H148" s="30" t="n">
        <x:f>IF(F148="","",FLOOR(INT(F148*'Price rules'!$B$7),'Price rules'!$B$9)+IF(MOD(INT(F148*'Price rules'!$B$7),'Price rules'!$B$9)&lt;'Price rules'!$B$10,0,'Price rules'!$B$9))</x:f>
        <x:v>4210</x:v>
      </x:c>
      <x:c r="I148" s="30" t="n">
        <x:f>IF(F148="","",FLOOR(INT(F148*'Price rules'!$B$8),'Price rules'!$B$9)+IF(MOD(INT(F148*'Price rules'!$B$8),'Price rules'!$B$9)&lt;'Price rules'!$B$10,0,'Price rules'!$B$9))</x:f>
        <x:v>4680</x:v>
      </x:c>
      <x:c r="J148" s="30" t="n">
        <x:f>IF(N148="conditional","",SUMIFS($F$5:$F$394,$A$5:$A$394,A148,$C$5:$C$394,C148,$D$5:$D$394,"&lt;="&amp;D148)+SUMIF(Towers!$A$5:$A$30,A148,Towers!$E$5:$E$30))</x:f>
        <x:v>6250</x:v>
      </x:c>
      <x:c r="K148" s="30"/>
      <x:c r="L148" s="25" t="str">
        <x:v>tank_killer</x:v>
      </x:c>
      <x:c r="M148" s="25" t="str">
        <x:v>Adds cannons and the MOAB Takedown harpoon ability.</x:v>
      </x:c>
      <x:c r="N148" s="25" t="str">
        <x:v>fixed_upgrade_price</x:v>
      </x:c>
      <x:c r="O148" s="30" t="n">
        <x:v>3900</x:v>
      </x:c>
      <x:c r="P148" s="25" t="str">
        <x:v>https://raw.githubusercontent.com/Btd6ModHelper/btd6-game-data/main/Towers/MonkeyBuccaneer/MonkeyBuccaneer-040.json</x:v>
      </x:c>
      <x:c r="Q148" s="25" t="str">
        <x:v>https://raw.githubusercontent.com/hemisemidemipresent/cyberquincy/master/jsons/costs.json</x:v>
      </x:c>
      <x:c r="R148" s="25" t="str">
        <x:v>https://raw.githubusercontent.com/Btd6ModHelper/btd6-game-data/main/textTable.json</x:v>
      </x:c>
      <x:c r="S148" s="25"/>
      <x:c r="T148" s="25"/>
    </x:row>
    <x:row r="149" ht="64" customHeight="1">
      <x:c r="A149" s="25" t="str">
        <x:v>Monkey Buccaneer</x:v>
      </x:c>
      <x:c r="B149" s="80" t="str">
        <x:v>050</x:v>
      </x:c>
      <x:c r="C149" s="25" t="str">
        <x:v>middle</x:v>
      </x:c>
      <x:c r="D149" s="25" t="n">
        <x:v>5</x:v>
      </x:c>
      <x:c r="E149" s="25" t="str">
        <x:v>Pirate Lord</x:v>
      </x:c>
      <x:c r="F149" s="30" t="n">
        <x:v>29000</x:v>
      </x:c>
      <x:c r="G149" s="30" t="n">
        <x:f>IF(F149="","",FLOOR(INT(F149*'Price rules'!$B$5),'Price rules'!$B$9)+IF(MOD(INT(F149*'Price rules'!$B$5),'Price rules'!$B$9)&lt;'Price rules'!$B$10,0,'Price rules'!$B$9))</x:f>
        <x:v>24650</x:v>
      </x:c>
      <x:c r="H149" s="30" t="n">
        <x:f>IF(F149="","",FLOOR(INT(F149*'Price rules'!$B$7),'Price rules'!$B$9)+IF(MOD(INT(F149*'Price rules'!$B$7),'Price rules'!$B$9)&lt;'Price rules'!$B$10,0,'Price rules'!$B$9))</x:f>
        <x:v>31320</x:v>
      </x:c>
      <x:c r="I149" s="30" t="n">
        <x:f>IF(F149="","",FLOOR(INT(F149*'Price rules'!$B$8),'Price rules'!$B$9)+IF(MOD(INT(F149*'Price rules'!$B$8),'Price rules'!$B$9)&lt;'Price rules'!$B$10,0,'Price rules'!$B$9))</x:f>
        <x:v>34800</x:v>
      </x:c>
      <x:c r="J149" s="30" t="n">
        <x:f>IF(N149="conditional","",SUMIFS($F$5:$F$394,$A$5:$A$394,A149,$C$5:$C$394,C149,$D$5:$D$394,"&lt;="&amp;D149)+SUMIF(Towers!$A$5:$A$30,A149,Towers!$E$5:$E$30))</x:f>
        <x:v>35250</x:v>
      </x:c>
      <x:c r="K149" s="30"/>
      <x:c r="L149" s="25" t="str">
        <x:v>tank_killer</x:v>
      </x:c>
      <x:c r="M149" s="25" t="str">
        <x:v>Strengthens the ship and harpoon ability; captured targets yield extra cash.</x:v>
      </x:c>
      <x:c r="N149" s="25" t="str">
        <x:v>fixed_upgrade_price</x:v>
      </x:c>
      <x:c r="O149" s="30" t="n">
        <x:v>29000</x:v>
      </x:c>
      <x:c r="P149" s="25" t="str">
        <x:v>https://raw.githubusercontent.com/Btd6ModHelper/btd6-game-data/main/Towers/MonkeyBuccaneer/MonkeyBuccaneer-050.json</x:v>
      </x:c>
      <x:c r="Q149" s="25" t="str">
        <x:v>https://raw.githubusercontent.com/hemisemidemipresent/cyberquincy/master/jsons/costs.json</x:v>
      </x:c>
      <x:c r="R149" s="25" t="str">
        <x:v>https://raw.githubusercontent.com/Btd6ModHelper/btd6-game-data/main/textTable.json</x:v>
      </x:c>
      <x:c r="S149" s="25"/>
      <x:c r="T149" s="25"/>
    </x:row>
    <x:row r="150" ht="64" customHeight="1">
      <x:c r="A150" s="25" t="str">
        <x:v>Monkey Buccaneer</x:v>
      </x:c>
      <x:c r="B150" s="80" t="str">
        <x:v>001</x:v>
      </x:c>
      <x:c r="C150" s="25" t="str">
        <x:v>bottom</x:v>
      </x:c>
      <x:c r="D150" s="25" t="n">
        <x:v>1</x:v>
      </x:c>
      <x:c r="E150" s="25" t="str">
        <x:v>Long Range</x:v>
      </x:c>
      <x:c r="F150" s="30" t="n">
        <x:v>200</x:v>
      </x:c>
      <x:c r="G150" s="30" t="n">
        <x:f>IF(F150="","",FLOOR(INT(F150*'Price rules'!$B$5),'Price rules'!$B$9)+IF(MOD(INT(F150*'Price rules'!$B$5),'Price rules'!$B$9)&lt;'Price rules'!$B$10,0,'Price rules'!$B$9))</x:f>
        <x:v>170</x:v>
      </x:c>
      <x:c r="H150" s="30" t="n">
        <x:f>IF(F150="","",FLOOR(INT(F150*'Price rules'!$B$7),'Price rules'!$B$9)+IF(MOD(INT(F150*'Price rules'!$B$7),'Price rules'!$B$9)&lt;'Price rules'!$B$10,0,'Price rules'!$B$9))</x:f>
        <x:v>215</x:v>
      </x:c>
      <x:c r="I150" s="30" t="n">
        <x:f>IF(F150="","",FLOOR(INT(F150*'Price rules'!$B$8),'Price rules'!$B$9)+IF(MOD(INT(F150*'Price rules'!$B$8),'Price rules'!$B$9)&lt;'Price rules'!$B$10,0,'Price rules'!$B$9))</x:f>
        <x:v>240</x:v>
      </x:c>
      <x:c r="J150" s="30" t="n">
        <x:f>IF(N150="conditional","",SUMIFS($F$5:$F$394,$A$5:$A$394,A150,$C$5:$C$394,C150,$D$5:$D$394,"&lt;="&amp;D150)+SUMIF(Towers!$A$5:$A$30,A150,Towers!$E$5:$E$30))</x:f>
        <x:v>600</x:v>
      </x:c>
      <x:c r="K150" s="30"/>
      <x:c r="L150" s="25" t="str">
        <x:v>basic_dps</x:v>
      </x:c>
      <x:c r="M150" s="25" t="str">
        <x:v>Increases range, projectile speed, and pierce.</x:v>
      </x:c>
      <x:c r="N150" s="25" t="str">
        <x:v>fixed_upgrade_price</x:v>
      </x:c>
      <x:c r="O150" s="30" t="n">
        <x:v>200</x:v>
      </x:c>
      <x:c r="P150" s="25" t="str">
        <x:v>https://raw.githubusercontent.com/Btd6ModHelper/btd6-game-data/main/Towers/MonkeyBuccaneer/MonkeyBuccaneer-001.json</x:v>
      </x:c>
      <x:c r="Q150" s="25" t="str">
        <x:v>https://raw.githubusercontent.com/hemisemidemipresent/cyberquincy/master/jsons/costs.json</x:v>
      </x:c>
      <x:c r="R150" s="25" t="str">
        <x:v>https://raw.githubusercontent.com/Btd6ModHelper/btd6-game-data/main/textTable.json</x:v>
      </x:c>
      <x:c r="S150" s="25"/>
      <x:c r="T150" s="25"/>
    </x:row>
    <x:row r="151" ht="64" customHeight="1">
      <x:c r="A151" s="25" t="str">
        <x:v>Monkey Buccaneer</x:v>
      </x:c>
      <x:c r="B151" s="80" t="str">
        <x:v>002</x:v>
      </x:c>
      <x:c r="C151" s="25" t="str">
        <x:v>bottom</x:v>
      </x:c>
      <x:c r="D151" s="25" t="n">
        <x:v>2</x:v>
      </x:c>
      <x:c r="E151" s="25" t="str">
        <x:v>Crow's Nest</x:v>
      </x:c>
      <x:c r="F151" s="30" t="n">
        <x:v>350</x:v>
      </x:c>
      <x:c r="G151" s="30" t="n">
        <x:f>IF(F151="","",FLOOR(INT(F151*'Price rules'!$B$5),'Price rules'!$B$9)+IF(MOD(INT(F151*'Price rules'!$B$5),'Price rules'!$B$9)&lt;'Price rules'!$B$10,0,'Price rules'!$B$9))</x:f>
        <x:v>295</x:v>
      </x:c>
      <x:c r="H151" s="30" t="n">
        <x:f>IF(F151="","",FLOOR(INT(F151*'Price rules'!$B$7),'Price rules'!$B$9)+IF(MOD(INT(F151*'Price rules'!$B$7),'Price rules'!$B$9)&lt;'Price rules'!$B$10,0,'Price rules'!$B$9))</x:f>
        <x:v>380</x:v>
      </x:c>
      <x:c r="I151" s="30" t="n">
        <x:f>IF(F151="","",FLOOR(INT(F151*'Price rules'!$B$8),'Price rules'!$B$9)+IF(MOD(INT(F151*'Price rules'!$B$8),'Price rules'!$B$9)&lt;'Price rules'!$B$10,0,'Price rules'!$B$9))</x:f>
        <x:v>420</x:v>
      </x:c>
      <x:c r="J151" s="30" t="n">
        <x:f>IF(N151="conditional","",SUMIFS($F$5:$F$394,$A$5:$A$394,A151,$C$5:$C$394,C151,$D$5:$D$394,"&lt;="&amp;D151)+SUMIF(Towers!$A$5:$A$30,A151,Towers!$E$5:$E$30))</x:f>
        <x:v>950</x:v>
      </x:c>
      <x:c r="K151" s="30"/>
      <x:c r="L151" s="25" t="str">
        <x:v>basic_dps</x:v>
      </x:c>
      <x:c r="M151" s="25" t="str">
        <x:v>Adds Camo detection.</x:v>
      </x:c>
      <x:c r="N151" s="25" t="str">
        <x:v>fixed_upgrade_price</x:v>
      </x:c>
      <x:c r="O151" s="30" t="n">
        <x:v>350</x:v>
      </x:c>
      <x:c r="P151" s="25" t="str">
        <x:v>https://raw.githubusercontent.com/Btd6ModHelper/btd6-game-data/main/Towers/MonkeyBuccaneer/MonkeyBuccaneer-002.json</x:v>
      </x:c>
      <x:c r="Q151" s="25" t="str">
        <x:v>https://raw.githubusercontent.com/hemisemidemipresent/cyberquincy/master/jsons/costs.json</x:v>
      </x:c>
      <x:c r="R151" s="25" t="str">
        <x:v>https://raw.githubusercontent.com/Btd6ModHelper/btd6-game-data/main/textTable.json</x:v>
      </x:c>
      <x:c r="S151" s="25"/>
      <x:c r="T151" s="25"/>
    </x:row>
    <x:row r="152" ht="64" customHeight="1">
      <x:c r="A152" s="25" t="str">
        <x:v>Monkey Buccaneer</x:v>
      </x:c>
      <x:c r="B152" s="80" t="str">
        <x:v>003</x:v>
      </x:c>
      <x:c r="C152" s="25" t="str">
        <x:v>bottom</x:v>
      </x:c>
      <x:c r="D152" s="25" t="n">
        <x:v>3</x:v>
      </x:c>
      <x:c r="E152" s="25" t="str">
        <x:v>Merchantman</x:v>
      </x:c>
      <x:c r="F152" s="30" t="n">
        <x:v>2400</x:v>
      </x:c>
      <x:c r="G152" s="30" t="n">
        <x:f>IF(F152="","",FLOOR(INT(F152*'Price rules'!$B$5),'Price rules'!$B$9)+IF(MOD(INT(F152*'Price rules'!$B$5),'Price rules'!$B$9)&lt;'Price rules'!$B$10,0,'Price rules'!$B$9))</x:f>
        <x:v>2040</x:v>
      </x:c>
      <x:c r="H152" s="30" t="n">
        <x:f>IF(F152="","",FLOOR(INT(F152*'Price rules'!$B$7),'Price rules'!$B$9)+IF(MOD(INT(F152*'Price rules'!$B$7),'Price rules'!$B$9)&lt;'Price rules'!$B$10,0,'Price rules'!$B$9))</x:f>
        <x:v>2590</x:v>
      </x:c>
      <x:c r="I152" s="30" t="n">
        <x:f>IF(F152="","",FLOOR(INT(F152*'Price rules'!$B$8),'Price rules'!$B$9)+IF(MOD(INT(F152*'Price rules'!$B$8),'Price rules'!$B$9)&lt;'Price rules'!$B$10,0,'Price rules'!$B$9))</x:f>
        <x:v>2880</x:v>
      </x:c>
      <x:c r="J152" s="30" t="n">
        <x:f>IF(N152="conditional","",SUMIFS($F$5:$F$394,$A$5:$A$394,A152,$C$5:$C$394,C152,$D$5:$D$394,"&lt;="&amp;D152)+SUMIF(Towers!$A$5:$A$30,A152,Towers!$E$5:$E$30))</x:f>
        <x:v>3350</x:v>
      </x:c>
      <x:c r="K152" s="30"/>
      <x:c r="L152" s="25" t="str">
        <x:v>economy</x:v>
      </x:c>
      <x:c r="M152" s="25" t="str">
        <x:v>Generates round-end income and gains damage when saved cash exceeds its threshold.</x:v>
      </x:c>
      <x:c r="N152" s="25" t="str">
        <x:v>fixed_upgrade_price</x:v>
      </x:c>
      <x:c r="O152" s="30" t="n">
        <x:v>2400</x:v>
      </x:c>
      <x:c r="P152" s="25" t="str">
        <x:v>https://raw.githubusercontent.com/Btd6ModHelper/btd6-game-data/main/Towers/MonkeyBuccaneer/MonkeyBuccaneer-003.json</x:v>
      </x:c>
      <x:c r="Q152" s="25" t="str">
        <x:v>https://raw.githubusercontent.com/hemisemidemipresent/cyberquincy/master/jsons/costs.json</x:v>
      </x:c>
      <x:c r="R152" s="25" t="str">
        <x:v>https://raw.githubusercontent.com/Btd6ModHelper/btd6-game-data/main/textTable.json</x:v>
      </x:c>
      <x:c r="S152" s="25"/>
      <x:c r="T152" s="25"/>
    </x:row>
    <x:row r="153" ht="64" customHeight="1">
      <x:c r="A153" s="25" t="str">
        <x:v>Monkey Buccaneer</x:v>
      </x:c>
      <x:c r="B153" s="80" t="str">
        <x:v>004</x:v>
      </x:c>
      <x:c r="C153" s="25" t="str">
        <x:v>bottom</x:v>
      </x:c>
      <x:c r="D153" s="25" t="n">
        <x:v>4</x:v>
      </x:c>
      <x:c r="E153" s="25" t="str">
        <x:v>Favored Trades</x:v>
      </x:c>
      <x:c r="F153" s="30" t="n">
        <x:v>5500</x:v>
      </x:c>
      <x:c r="G153" s="30" t="n">
        <x:f>IF(F153="","",FLOOR(INT(F153*'Price rules'!$B$5),'Price rules'!$B$9)+IF(MOD(INT(F153*'Price rules'!$B$5),'Price rules'!$B$9)&lt;'Price rules'!$B$10,0,'Price rules'!$B$9))</x:f>
        <x:v>4675</x:v>
      </x:c>
      <x:c r="H153" s="30" t="n">
        <x:f>IF(F153="","",FLOOR(INT(F153*'Price rules'!$B$7),'Price rules'!$B$9)+IF(MOD(INT(F153*'Price rules'!$B$7),'Price rules'!$B$9)&lt;'Price rules'!$B$10,0,'Price rules'!$B$9))</x:f>
        <x:v>5940</x:v>
      </x:c>
      <x:c r="I153" s="30" t="n">
        <x:f>IF(F153="","",FLOOR(INT(F153*'Price rules'!$B$8),'Price rules'!$B$9)+IF(MOD(INT(F153*'Price rules'!$B$8),'Price rules'!$B$9)&lt;'Price rules'!$B$10,0,'Price rules'!$B$9))</x:f>
        <x:v>6600</x:v>
      </x:c>
      <x:c r="J153" s="30" t="n">
        <x:f>IF(N153="conditional","",SUMIFS($F$5:$F$394,$A$5:$A$394,A153,$C$5:$C$394,C153,$D$5:$D$394,"&lt;="&amp;D153)+SUMIF(Towers!$A$5:$A$30,A153,Towers!$E$5:$E$30))</x:f>
        <x:v>8850</x:v>
      </x:c>
      <x:c r="K153" s="30"/>
      <x:c r="L153" s="25" t="str">
        <x:v>economy</x:v>
      </x:c>
      <x:c r="M153" s="25" t="str">
        <x:v>Increases income and nearby sellback value; improves attacks at a higher saved-cash threshold.</x:v>
      </x:c>
      <x:c r="N153" s="25" t="str">
        <x:v>fixed_upgrade_price</x:v>
      </x:c>
      <x:c r="O153" s="30" t="n">
        <x:v>5500</x:v>
      </x:c>
      <x:c r="P153" s="25" t="str">
        <x:v>https://raw.githubusercontent.com/Btd6ModHelper/btd6-game-data/main/Towers/MonkeyBuccaneer/MonkeyBuccaneer-004.json</x:v>
      </x:c>
      <x:c r="Q153" s="25" t="str">
        <x:v>https://raw.githubusercontent.com/hemisemidemipresent/cyberquincy/master/jsons/costs.json</x:v>
      </x:c>
      <x:c r="R153" s="25" t="str">
        <x:v>https://raw.githubusercontent.com/Btd6ModHelper/btd6-game-data/main/textTable.json</x:v>
      </x:c>
      <x:c r="S153" s="25"/>
      <x:c r="T153" s="25"/>
    </x:row>
    <x:row r="154" ht="64" customHeight="1">
      <x:c r="A154" s="25" t="str">
        <x:v>Monkey Buccaneer</x:v>
      </x:c>
      <x:c r="B154" s="80" t="str">
        <x:v>005</x:v>
      </x:c>
      <x:c r="C154" s="25" t="str">
        <x:v>bottom</x:v>
      </x:c>
      <x:c r="D154" s="25" t="n">
        <x:v>5</x:v>
      </x:c>
      <x:c r="E154" s="25" t="str">
        <x:v>Trade Empire</x:v>
      </x:c>
      <x:c r="F154" s="30" t="n">
        <x:v>23000</x:v>
      </x:c>
      <x:c r="G154" s="30" t="n">
        <x:f>IF(F154="","",FLOOR(INT(F154*'Price rules'!$B$5),'Price rules'!$B$9)+IF(MOD(INT(F154*'Price rules'!$B$5),'Price rules'!$B$9)&lt;'Price rules'!$B$10,0,'Price rules'!$B$9))</x:f>
        <x:v>19550</x:v>
      </x:c>
      <x:c r="H154" s="30" t="n">
        <x:f>IF(F154="","",FLOOR(INT(F154*'Price rules'!$B$7),'Price rules'!$B$9)+IF(MOD(INT(F154*'Price rules'!$B$7),'Price rules'!$B$9)&lt;'Price rules'!$B$10,0,'Price rules'!$B$9))</x:f>
        <x:v>24840</x:v>
      </x:c>
      <x:c r="I154" s="30" t="n">
        <x:f>IF(F154="","",FLOOR(INT(F154*'Price rules'!$B$8),'Price rules'!$B$9)+IF(MOD(INT(F154*'Price rules'!$B$8),'Price rules'!$B$9)&lt;'Price rules'!$B$10,0,'Price rules'!$B$9))</x:f>
        <x:v>27600</x:v>
      </x:c>
      <x:c r="J154" s="30" t="n">
        <x:f>IF(N154="conditional","",SUMIFS($F$5:$F$394,$A$5:$A$394,A154,$C$5:$C$394,C154,$D$5:$D$394,"&lt;="&amp;D154)+SUMIF(Towers!$A$5:$A$30,A154,Towers!$E$5:$E$30))</x:f>
        <x:v>31850</x:v>
      </x:c>
      <x:c r="K154" s="30"/>
      <x:c r="L154" s="25" t="str">
        <x:v>economy</x:v>
      </x:c>
      <x:c r="M154" s="25" t="str">
        <x:v>Improves income and buffs up to twenty Merchantmen.</x:v>
      </x:c>
      <x:c r="N154" s="25" t="str">
        <x:v>fixed_upgrade_price</x:v>
      </x:c>
      <x:c r="O154" s="30" t="n">
        <x:v>23000</x:v>
      </x:c>
      <x:c r="P154" s="25" t="str">
        <x:v>https://raw.githubusercontent.com/Btd6ModHelper/btd6-game-data/main/Towers/MonkeyBuccaneer/MonkeyBuccaneer-005.json</x:v>
      </x:c>
      <x:c r="Q154" s="25" t="str">
        <x:v>https://raw.githubusercontent.com/hemisemidemipresent/cyberquincy/master/jsons/costs.json</x:v>
      </x:c>
      <x:c r="R154" s="25" t="str">
        <x:v>https://raw.githubusercontent.com/Btd6ModHelper/btd6-game-data/main/textTable.json</x:v>
      </x:c>
      <x:c r="S154" s="25"/>
      <x:c r="T154" s="25"/>
    </x:row>
    <x:row r="155" ht="64" customHeight="1">
      <x:c r="A155" s="25" t="str">
        <x:v>Monkey Ace</x:v>
      </x:c>
      <x:c r="B155" s="80" t="str">
        <x:v>100</x:v>
      </x:c>
      <x:c r="C155" s="25" t="str">
        <x:v>top</x:v>
      </x:c>
      <x:c r="D155" s="25" t="n">
        <x:v>1</x:v>
      </x:c>
      <x:c r="E155" s="25" t="str">
        <x:v>Rapid Fire</x:v>
      </x:c>
      <x:c r="F155" s="30" t="n">
        <x:v>450</x:v>
      </x:c>
      <x:c r="G155" s="30" t="n">
        <x:f>IF(F155="","",FLOOR(INT(F155*'Price rules'!$B$5),'Price rules'!$B$9)+IF(MOD(INT(F155*'Price rules'!$B$5),'Price rules'!$B$9)&lt;'Price rules'!$B$10,0,'Price rules'!$B$9))</x:f>
        <x:v>380</x:v>
      </x:c>
      <x:c r="H155" s="30" t="n">
        <x:f>IF(F155="","",FLOOR(INT(F155*'Price rules'!$B$7),'Price rules'!$B$9)+IF(MOD(INT(F155*'Price rules'!$B$7),'Price rules'!$B$9)&lt;'Price rules'!$B$10,0,'Price rules'!$B$9))</x:f>
        <x:v>485</x:v>
      </x:c>
      <x:c r="I155" s="30" t="n">
        <x:f>IF(F155="","",FLOOR(INT(F155*'Price rules'!$B$8),'Price rules'!$B$9)+IF(MOD(INT(F155*'Price rules'!$B$8),'Price rules'!$B$9)&lt;'Price rules'!$B$10,0,'Price rules'!$B$9))</x:f>
        <x:v>540</x:v>
      </x:c>
      <x:c r="J155" s="30" t="n">
        <x:f>IF(N155="conditional","",SUMIFS($F$5:$F$394,$A$5:$A$394,A155,$C$5:$C$394,C155,$D$5:$D$394,"&lt;="&amp;D155)+SUMIF(Towers!$A$5:$A$30,A155,Towers!$E$5:$E$30))</x:f>
        <x:v>1250</x:v>
      </x:c>
      <x:c r="K155" s="30"/>
      <x:c r="L155" s="25" t="str">
        <x:v>splash</x:v>
      </x:c>
      <x:c r="M155" s="25" t="str">
        <x:v>Increases dart firing speed.</x:v>
      </x:c>
      <x:c r="N155" s="25" t="str">
        <x:v>fixed_upgrade_price</x:v>
      </x:c>
      <x:c r="O155" s="30" t="n">
        <x:v>450</x:v>
      </x:c>
      <x:c r="P155" s="25" t="str">
        <x:v>https://raw.githubusercontent.com/Btd6ModHelper/btd6-game-data/main/Towers/MonkeyAce/MonkeyAce-100.json</x:v>
      </x:c>
      <x:c r="Q155" s="25" t="str">
        <x:v>https://raw.githubusercontent.com/hemisemidemipresent/cyberquincy/master/jsons/costs.json</x:v>
      </x:c>
      <x:c r="R155" s="25" t="str">
        <x:v>https://raw.githubusercontent.com/Btd6ModHelper/btd6-game-data/main/textTable.json</x:v>
      </x:c>
      <x:c r="S155" s="25"/>
      <x:c r="T155" s="25"/>
    </x:row>
    <x:row r="156" ht="64" customHeight="1">
      <x:c r="A156" s="25" t="str">
        <x:v>Monkey Ace</x:v>
      </x:c>
      <x:c r="B156" s="80" t="str">
        <x:v>200</x:v>
      </x:c>
      <x:c r="C156" s="25" t="str">
        <x:v>top</x:v>
      </x:c>
      <x:c r="D156" s="25" t="n">
        <x:v>2</x:v>
      </x:c>
      <x:c r="E156" s="25" t="str">
        <x:v>Lots More Darts</x:v>
      </x:c>
      <x:c r="F156" s="30" t="n">
        <x:v>550</x:v>
      </x:c>
      <x:c r="G156" s="30" t="n">
        <x:f>IF(F156="","",FLOOR(INT(F156*'Price rules'!$B$5),'Price rules'!$B$9)+IF(MOD(INT(F156*'Price rules'!$B$5),'Price rules'!$B$9)&lt;'Price rules'!$B$10,0,'Price rules'!$B$9))</x:f>
        <x:v>465</x:v>
      </x:c>
      <x:c r="H156" s="30" t="n">
        <x:f>IF(F156="","",FLOOR(INT(F156*'Price rules'!$B$7),'Price rules'!$B$9)+IF(MOD(INT(F156*'Price rules'!$B$7),'Price rules'!$B$9)&lt;'Price rules'!$B$10,0,'Price rules'!$B$9))</x:f>
        <x:v>595</x:v>
      </x:c>
      <x:c r="I156" s="30" t="n">
        <x:f>IF(F156="","",FLOOR(INT(F156*'Price rules'!$B$8),'Price rules'!$B$9)+IF(MOD(INT(F156*'Price rules'!$B$8),'Price rules'!$B$9)&lt;'Price rules'!$B$10,0,'Price rules'!$B$9))</x:f>
        <x:v>660</x:v>
      </x:c>
      <x:c r="J156" s="30" t="n">
        <x:f>IF(N156="conditional","",SUMIFS($F$5:$F$394,$A$5:$A$394,A156,$C$5:$C$394,C156,$D$5:$D$394,"&lt;="&amp;D156)+SUMIF(Towers!$A$5:$A$30,A156,Towers!$E$5:$E$30))</x:f>
        <x:v>1800</x:v>
      </x:c>
      <x:c r="K156" s="30"/>
      <x:c r="L156" s="25" t="str">
        <x:v>splash</x:v>
      </x:c>
      <x:c r="M156" s="25" t="str">
        <x:v>Fires twelve darts per volley.</x:v>
      </x:c>
      <x:c r="N156" s="25" t="str">
        <x:v>fixed_upgrade_price</x:v>
      </x:c>
      <x:c r="O156" s="30" t="n">
        <x:v>550</x:v>
      </x:c>
      <x:c r="P156" s="25" t="str">
        <x:v>https://raw.githubusercontent.com/Btd6ModHelper/btd6-game-data/main/Towers/MonkeyAce/MonkeyAce-200.json</x:v>
      </x:c>
      <x:c r="Q156" s="25" t="str">
        <x:v>https://raw.githubusercontent.com/hemisemidemipresent/cyberquincy/master/jsons/costs.json</x:v>
      </x:c>
      <x:c r="R156" s="25" t="str">
        <x:v>https://raw.githubusercontent.com/Btd6ModHelper/btd6-game-data/main/textTable.json</x:v>
      </x:c>
      <x:c r="S156" s="25"/>
      <x:c r="T156" s="25"/>
    </x:row>
    <x:row r="157" ht="64" customHeight="1">
      <x:c r="A157" s="25" t="str">
        <x:v>Monkey Ace</x:v>
      </x:c>
      <x:c r="B157" s="80" t="str">
        <x:v>300</x:v>
      </x:c>
      <x:c r="C157" s="25" t="str">
        <x:v>top</x:v>
      </x:c>
      <x:c r="D157" s="25" t="n">
        <x:v>3</x:v>
      </x:c>
      <x:c r="E157" s="25" t="str">
        <x:v>Fighter Plane</x:v>
      </x:c>
      <x:c r="F157" s="30" t="n">
        <x:v>1000</x:v>
      </x:c>
      <x:c r="G157" s="30" t="n">
        <x:f>IF(F157="","",FLOOR(INT(F157*'Price rules'!$B$5),'Price rules'!$B$9)+IF(MOD(INT(F157*'Price rules'!$B$5),'Price rules'!$B$9)&lt;'Price rules'!$B$10,0,'Price rules'!$B$9))</x:f>
        <x:v>850</x:v>
      </x:c>
      <x:c r="H157" s="30" t="n">
        <x:f>IF(F157="","",FLOOR(INT(F157*'Price rules'!$B$7),'Price rules'!$B$9)+IF(MOD(INT(F157*'Price rules'!$B$7),'Price rules'!$B$9)&lt;'Price rules'!$B$10,0,'Price rules'!$B$9))</x:f>
        <x:v>1080</x:v>
      </x:c>
      <x:c r="I157" s="30" t="n">
        <x:f>IF(F157="","",FLOOR(INT(F157*'Price rules'!$B$8),'Price rules'!$B$9)+IF(MOD(INT(F157*'Price rules'!$B$8),'Price rules'!$B$9)&lt;'Price rules'!$B$10,0,'Price rules'!$B$9))</x:f>
        <x:v>1200</x:v>
      </x:c>
      <x:c r="J157" s="30" t="n">
        <x:f>IF(N157="conditional","",SUMIFS($F$5:$F$394,$A$5:$A$394,A157,$C$5:$C$394,C157,$D$5:$D$394,"&lt;="&amp;D157)+SUMIF(Towers!$A$5:$A$30,A157,Towers!$E$5:$E$30))</x:f>
        <x:v>2800</x:v>
      </x:c>
      <x:c r="K157" s="30"/>
      <x:c r="L157" s="25" t="str">
        <x:v>rapid_fire</x:v>
      </x:c>
      <x:c r="M157" s="25" t="str">
        <x:v>Adds anti-MOAB missiles and increases flight speed.</x:v>
      </x:c>
      <x:c r="N157" s="25" t="str">
        <x:v>fixed_upgrade_price</x:v>
      </x:c>
      <x:c r="O157" s="30" t="n">
        <x:v>1000</x:v>
      </x:c>
      <x:c r="P157" s="25" t="str">
        <x:v>https://raw.githubusercontent.com/Btd6ModHelper/btd6-game-data/main/Towers/MonkeyAce/MonkeyAce-300.json</x:v>
      </x:c>
      <x:c r="Q157" s="25" t="str">
        <x:v>https://raw.githubusercontent.com/hemisemidemipresent/cyberquincy/master/jsons/costs.json</x:v>
      </x:c>
      <x:c r="R157" s="25" t="str">
        <x:v>https://raw.githubusercontent.com/Btd6ModHelper/btd6-game-data/main/textTable.json</x:v>
      </x:c>
      <x:c r="S157" s="25"/>
      <x:c r="T157" s="25"/>
    </x:row>
    <x:row r="158" ht="64" customHeight="1">
      <x:c r="A158" s="25" t="str">
        <x:v>Monkey Ace</x:v>
      </x:c>
      <x:c r="B158" s="80" t="str">
        <x:v>400</x:v>
      </x:c>
      <x:c r="C158" s="25" t="str">
        <x:v>top</x:v>
      </x:c>
      <x:c r="D158" s="25" t="n">
        <x:v>4</x:v>
      </x:c>
      <x:c r="E158" s="25" t="str">
        <x:v>Operation: Dart Storm</x:v>
      </x:c>
      <x:c r="F158" s="30" t="n">
        <x:v>3300</x:v>
      </x:c>
      <x:c r="G158" s="30" t="n">
        <x:f>IF(F158="","",FLOOR(INT(F158*'Price rules'!$B$5),'Price rules'!$B$9)+IF(MOD(INT(F158*'Price rules'!$B$5),'Price rules'!$B$9)&lt;'Price rules'!$B$10,0,'Price rules'!$B$9))</x:f>
        <x:v>2805</x:v>
      </x:c>
      <x:c r="H158" s="30" t="n">
        <x:f>IF(F158="","",FLOOR(INT(F158*'Price rules'!$B$7),'Price rules'!$B$9)+IF(MOD(INT(F158*'Price rules'!$B$7),'Price rules'!$B$9)&lt;'Price rules'!$B$10,0,'Price rules'!$B$9))</x:f>
        <x:v>3565</x:v>
      </x:c>
      <x:c r="I158" s="30" t="n">
        <x:f>IF(F158="","",FLOOR(INT(F158*'Price rules'!$B$8),'Price rules'!$B$9)+IF(MOD(INT(F158*'Price rules'!$B$8),'Price rules'!$B$9)&lt;'Price rules'!$B$10,0,'Price rules'!$B$9))</x:f>
        <x:v>3960</x:v>
      </x:c>
      <x:c r="J158" s="30" t="n">
        <x:f>IF(N158="conditional","",SUMIFS($F$5:$F$394,$A$5:$A$394,A158,$C$5:$C$394,C158,$D$5:$D$394,"&lt;="&amp;D158)+SUMIF(Towers!$A$5:$A$30,A158,Towers!$E$5:$E$30))</x:f>
        <x:v>6100</x:v>
      </x:c>
      <x:c r="K158" s="30"/>
      <x:c r="L158" s="25" t="str">
        <x:v>rapid_fire</x:v>
      </x:c>
      <x:c r="M158" s="25" t="str">
        <x:v>Fires sixteen darts per volley at a faster rate.</x:v>
      </x:c>
      <x:c r="N158" s="25" t="str">
        <x:v>fixed_upgrade_price</x:v>
      </x:c>
      <x:c r="O158" s="30" t="n">
        <x:v>3300</x:v>
      </x:c>
      <x:c r="P158" s="25" t="str">
        <x:v>https://raw.githubusercontent.com/Btd6ModHelper/btd6-game-data/main/Towers/MonkeyAce/MonkeyAce-400.json</x:v>
      </x:c>
      <x:c r="Q158" s="25" t="str">
        <x:v>https://raw.githubusercontent.com/hemisemidemipresent/cyberquincy/master/jsons/costs.json</x:v>
      </x:c>
      <x:c r="R158" s="25" t="str">
        <x:v>https://raw.githubusercontent.com/Btd6ModHelper/btd6-game-data/main/textTable.json</x:v>
      </x:c>
      <x:c r="S158" s="25"/>
      <x:c r="T158" s="25"/>
    </x:row>
    <x:row r="159" ht="64" customHeight="1">
      <x:c r="A159" s="25" t="str">
        <x:v>Monkey Ace</x:v>
      </x:c>
      <x:c r="B159" s="80" t="str">
        <x:v>500</x:v>
      </x:c>
      <x:c r="C159" s="25" t="str">
        <x:v>top</x:v>
      </x:c>
      <x:c r="D159" s="25" t="n">
        <x:v>5</x:v>
      </x:c>
      <x:c r="E159" s="25" t="str">
        <x:v>Sky Shredder</x:v>
      </x:c>
      <x:c r="F159" s="30" t="n">
        <x:v>42500</x:v>
      </x:c>
      <x:c r="G159" s="30" t="n">
        <x:f>IF(F159="","",FLOOR(INT(F159*'Price rules'!$B$5),'Price rules'!$B$9)+IF(MOD(INT(F159*'Price rules'!$B$5),'Price rules'!$B$9)&lt;'Price rules'!$B$10,0,'Price rules'!$B$9))</x:f>
        <x:v>36125</x:v>
      </x:c>
      <x:c r="H159" s="30" t="n">
        <x:f>IF(F159="","",FLOOR(INT(F159*'Price rules'!$B$7),'Price rules'!$B$9)+IF(MOD(INT(F159*'Price rules'!$B$7),'Price rules'!$B$9)&lt;'Price rules'!$B$10,0,'Price rules'!$B$9))</x:f>
        <x:v>45900</x:v>
      </x:c>
      <x:c r="I159" s="30" t="n">
        <x:f>IF(F159="","",FLOOR(INT(F159*'Price rules'!$B$8),'Price rules'!$B$9)+IF(MOD(INT(F159*'Price rules'!$B$8),'Price rules'!$B$9)&lt;'Price rules'!$B$10,0,'Price rules'!$B$9))</x:f>
        <x:v>51000</x:v>
      </x:c>
      <x:c r="J159" s="30" t="n">
        <x:f>IF(N159="conditional","",SUMIFS($F$5:$F$394,$A$5:$A$394,A159,$C$5:$C$394,C159,$D$5:$D$394,"&lt;="&amp;D159)+SUMIF(Towers!$A$5:$A$30,A159,Towers!$E$5:$E$30))</x:f>
        <x:v>48600</x:v>
      </x:c>
      <x:c r="K159" s="30"/>
      <x:c r="L159" s="25" t="str">
        <x:v>rapid_fire</x:v>
      </x:c>
      <x:c r="M159" s="25" t="str">
        <x:v>Upgrades the high-volume dart and anti-MOAB attack path.</x:v>
      </x:c>
      <x:c r="N159" s="25" t="str">
        <x:v>fixed_upgrade_price</x:v>
      </x:c>
      <x:c r="O159" s="30" t="n">
        <x:v>42500</x:v>
      </x:c>
      <x:c r="P159" s="25" t="str">
        <x:v>https://raw.githubusercontent.com/Btd6ModHelper/btd6-game-data/main/Towers/MonkeyAce/MonkeyAce-500.json</x:v>
      </x:c>
      <x:c r="Q159" s="25" t="str">
        <x:v>https://raw.githubusercontent.com/hemisemidemipresent/cyberquincy/master/jsons/costs.json</x:v>
      </x:c>
      <x:c r="R159" s="25" t="str">
        <x:v>https://raw.githubusercontent.com/Btd6ModHelper/btd6-game-data/main/textTable.json</x:v>
      </x:c>
      <x:c r="S159" s="25"/>
      <x:c r="T159" s="25"/>
    </x:row>
    <x:row r="160" ht="64" customHeight="1">
      <x:c r="A160" s="25" t="str">
        <x:v>Monkey Ace</x:v>
      </x:c>
      <x:c r="B160" s="80" t="str">
        <x:v>010</x:v>
      </x:c>
      <x:c r="C160" s="25" t="str">
        <x:v>middle</x:v>
      </x:c>
      <x:c r="D160" s="25" t="n">
        <x:v>1</x:v>
      </x:c>
      <x:c r="E160" s="25" t="str">
        <x:v>Exploding Pineapple</x:v>
      </x:c>
      <x:c r="F160" s="30" t="n">
        <x:v>200</x:v>
      </x:c>
      <x:c r="G160" s="30" t="n">
        <x:f>IF(F160="","",FLOOR(INT(F160*'Price rules'!$B$5),'Price rules'!$B$9)+IF(MOD(INT(F160*'Price rules'!$B$5),'Price rules'!$B$9)&lt;'Price rules'!$B$10,0,'Price rules'!$B$9))</x:f>
        <x:v>170</x:v>
      </x:c>
      <x:c r="H160" s="30" t="n">
        <x:f>IF(F160="","",FLOOR(INT(F160*'Price rules'!$B$7),'Price rules'!$B$9)+IF(MOD(INT(F160*'Price rules'!$B$7),'Price rules'!$B$9)&lt;'Price rules'!$B$10,0,'Price rules'!$B$9))</x:f>
        <x:v>215</x:v>
      </x:c>
      <x:c r="I160" s="30" t="n">
        <x:f>IF(F160="","",FLOOR(INT(F160*'Price rules'!$B$8),'Price rules'!$B$9)+IF(MOD(INT(F160*'Price rules'!$B$8),'Price rules'!$B$9)&lt;'Price rules'!$B$10,0,'Price rules'!$B$9))</x:f>
        <x:v>240</x:v>
      </x:c>
      <x:c r="J160" s="30" t="n">
        <x:f>IF(N160="conditional","",SUMIFS($F$5:$F$394,$A$5:$A$394,A160,$C$5:$C$394,C160,$D$5:$D$394,"&lt;="&amp;D160)+SUMIF(Towers!$A$5:$A$30,A160,Towers!$E$5:$E$30))</x:f>
        <x:v>1000</x:v>
      </x:c>
      <x:c r="K160" s="30"/>
      <x:c r="L160" s="25" t="str">
        <x:v>splash</x:v>
      </x:c>
      <x:c r="M160" s="25" t="str">
        <x:v>Drops timed explosives and improves explosive attacks.</x:v>
      </x:c>
      <x:c r="N160" s="25" t="str">
        <x:v>fixed_upgrade_price</x:v>
      </x:c>
      <x:c r="O160" s="30" t="n">
        <x:v>200</x:v>
      </x:c>
      <x:c r="P160" s="25" t="str">
        <x:v>https://raw.githubusercontent.com/Btd6ModHelper/btd6-game-data/main/Towers/MonkeyAce/MonkeyAce-010.json</x:v>
      </x:c>
      <x:c r="Q160" s="25" t="str">
        <x:v>https://raw.githubusercontent.com/hemisemidemipresent/cyberquincy/master/jsons/costs.json</x:v>
      </x:c>
      <x:c r="R160" s="25" t="str">
        <x:v>https://raw.githubusercontent.com/Btd6ModHelper/btd6-game-data/main/textTable.json</x:v>
      </x:c>
      <x:c r="S160" s="25"/>
      <x:c r="T160" s="25"/>
    </x:row>
    <x:row r="161" ht="64" customHeight="1">
      <x:c r="A161" s="25" t="str">
        <x:v>Monkey Ace</x:v>
      </x:c>
      <x:c r="B161" s="80" t="str">
        <x:v>020</x:v>
      </x:c>
      <x:c r="C161" s="25" t="str">
        <x:v>middle</x:v>
      </x:c>
      <x:c r="D161" s="25" t="n">
        <x:v>2</x:v>
      </x:c>
      <x:c r="E161" s="25" t="str">
        <x:v>Spy Plane</x:v>
      </x:c>
      <x:c r="F161" s="30" t="n">
        <x:v>350</x:v>
      </x:c>
      <x:c r="G161" s="30" t="n">
        <x:f>IF(F161="","",FLOOR(INT(F161*'Price rules'!$B$5),'Price rules'!$B$9)+IF(MOD(INT(F161*'Price rules'!$B$5),'Price rules'!$B$9)&lt;'Price rules'!$B$10,0,'Price rules'!$B$9))</x:f>
        <x:v>295</x:v>
      </x:c>
      <x:c r="H161" s="30" t="n">
        <x:f>IF(F161="","",FLOOR(INT(F161*'Price rules'!$B$7),'Price rules'!$B$9)+IF(MOD(INT(F161*'Price rules'!$B$7),'Price rules'!$B$9)&lt;'Price rules'!$B$10,0,'Price rules'!$B$9))</x:f>
        <x:v>380</x:v>
      </x:c>
      <x:c r="I161" s="30" t="n">
        <x:f>IF(F161="","",FLOOR(INT(F161*'Price rules'!$B$8),'Price rules'!$B$9)+IF(MOD(INT(F161*'Price rules'!$B$8),'Price rules'!$B$9)&lt;'Price rules'!$B$10,0,'Price rules'!$B$9))</x:f>
        <x:v>420</x:v>
      </x:c>
      <x:c r="J161" s="30" t="n">
        <x:f>IF(N161="conditional","",SUMIFS($F$5:$F$394,$A$5:$A$394,A161,$C$5:$C$394,C161,$D$5:$D$394,"&lt;="&amp;D161)+SUMIF(Towers!$A$5:$A$30,A161,Towers!$E$5:$E$30))</x:f>
        <x:v>1350</x:v>
      </x:c>
      <x:c r="K161" s="30"/>
      <x:c r="L161" s="25" t="str">
        <x:v>splash</x:v>
      </x:c>
      <x:c r="M161" s="25" t="str">
        <x:v>Adds Camo detection and bonus damage against Camo targets.</x:v>
      </x:c>
      <x:c r="N161" s="25" t="str">
        <x:v>fixed_upgrade_price</x:v>
      </x:c>
      <x:c r="O161" s="30" t="n">
        <x:v>350</x:v>
      </x:c>
      <x:c r="P161" s="25" t="str">
        <x:v>https://raw.githubusercontent.com/Btd6ModHelper/btd6-game-data/main/Towers/MonkeyAce/MonkeyAce-020.json</x:v>
      </x:c>
      <x:c r="Q161" s="25" t="str">
        <x:v>https://raw.githubusercontent.com/hemisemidemipresent/cyberquincy/master/jsons/costs.json</x:v>
      </x:c>
      <x:c r="R161" s="25" t="str">
        <x:v>https://raw.githubusercontent.com/Btd6ModHelper/btd6-game-data/main/textTable.json</x:v>
      </x:c>
      <x:c r="S161" s="25"/>
      <x:c r="T161" s="25"/>
    </x:row>
    <x:row r="162" ht="64" customHeight="1">
      <x:c r="A162" s="25" t="str">
        <x:v>Monkey Ace</x:v>
      </x:c>
      <x:c r="B162" s="80" t="str">
        <x:v>030</x:v>
      </x:c>
      <x:c r="C162" s="25" t="str">
        <x:v>middle</x:v>
      </x:c>
      <x:c r="D162" s="25" t="n">
        <x:v>3</x:v>
      </x:c>
      <x:c r="E162" s="25" t="str">
        <x:v>Bomber Ace</x:v>
      </x:c>
      <x:c r="F162" s="30" t="n">
        <x:v>900</x:v>
      </x:c>
      <x:c r="G162" s="30" t="n">
        <x:f>IF(F162="","",FLOOR(INT(F162*'Price rules'!$B$5),'Price rules'!$B$9)+IF(MOD(INT(F162*'Price rules'!$B$5),'Price rules'!$B$9)&lt;'Price rules'!$B$10,0,'Price rules'!$B$9))</x:f>
        <x:v>765</x:v>
      </x:c>
      <x:c r="H162" s="30" t="n">
        <x:f>IF(F162="","",FLOOR(INT(F162*'Price rules'!$B$7),'Price rules'!$B$9)+IF(MOD(INT(F162*'Price rules'!$B$7),'Price rules'!$B$9)&lt;'Price rules'!$B$10,0,'Price rules'!$B$9))</x:f>
        <x:v>970</x:v>
      </x:c>
      <x:c r="I162" s="30" t="n">
        <x:f>IF(F162="","",FLOOR(INT(F162*'Price rules'!$B$8),'Price rules'!$B$9)+IF(MOD(INT(F162*'Price rules'!$B$8),'Price rules'!$B$9)&lt;'Price rules'!$B$10,0,'Price rules'!$B$9))</x:f>
        <x:v>1080</x:v>
      </x:c>
      <x:c r="J162" s="30" t="n">
        <x:f>IF(N162="conditional","",SUMIFS($F$5:$F$394,$A$5:$A$394,A162,$C$5:$C$394,C162,$D$5:$D$394,"&lt;="&amp;D162)+SUMIF(Towers!$A$5:$A$30,A162,Towers!$E$5:$E$30))</x:f>
        <x:v>2250</x:v>
      </x:c>
      <x:c r="K162" s="30"/>
      <x:c r="L162" s="25" t="str">
        <x:v>splash</x:v>
      </x:c>
      <x:c r="M162" s="25" t="str">
        <x:v>Drops a line of bombs when crossing the track.</x:v>
      </x:c>
      <x:c r="N162" s="25" t="str">
        <x:v>fixed_upgrade_price</x:v>
      </x:c>
      <x:c r="O162" s="30" t="n">
        <x:v>900</x:v>
      </x:c>
      <x:c r="P162" s="25" t="str">
        <x:v>https://raw.githubusercontent.com/Btd6ModHelper/btd6-game-data/main/Towers/MonkeyAce/MonkeyAce-030.json</x:v>
      </x:c>
      <x:c r="Q162" s="25" t="str">
        <x:v>https://raw.githubusercontent.com/hemisemidemipresent/cyberquincy/master/jsons/costs.json</x:v>
      </x:c>
      <x:c r="R162" s="25" t="str">
        <x:v>https://raw.githubusercontent.com/Btd6ModHelper/btd6-game-data/main/textTable.json</x:v>
      </x:c>
      <x:c r="S162" s="25"/>
      <x:c r="T162" s="25"/>
    </x:row>
    <x:row r="163" ht="64" customHeight="1">
      <x:c r="A163" s="25" t="str">
        <x:v>Monkey Ace</x:v>
      </x:c>
      <x:c r="B163" s="80" t="str">
        <x:v>040</x:v>
      </x:c>
      <x:c r="C163" s="25" t="str">
        <x:v>middle</x:v>
      </x:c>
      <x:c r="D163" s="25" t="n">
        <x:v>4</x:v>
      </x:c>
      <x:c r="E163" s="25" t="str">
        <x:v>Ground Zero</x:v>
      </x:c>
      <x:c r="F163" s="30" t="n">
        <x:v>16000</x:v>
      </x:c>
      <x:c r="G163" s="30" t="n">
        <x:f>IF(F163="","",FLOOR(INT(F163*'Price rules'!$B$5),'Price rules'!$B$9)+IF(MOD(INT(F163*'Price rules'!$B$5),'Price rules'!$B$9)&lt;'Price rules'!$B$10,0,'Price rules'!$B$9))</x:f>
        <x:v>13600</x:v>
      </x:c>
      <x:c r="H163" s="30" t="n">
        <x:f>IF(F163="","",FLOOR(INT(F163*'Price rules'!$B$7),'Price rules'!$B$9)+IF(MOD(INT(F163*'Price rules'!$B$7),'Price rules'!$B$9)&lt;'Price rules'!$B$10,0,'Price rules'!$B$9))</x:f>
        <x:v>17280</x:v>
      </x:c>
      <x:c r="I163" s="30" t="n">
        <x:f>IF(F163="","",FLOOR(INT(F163*'Price rules'!$B$8),'Price rules'!$B$9)+IF(MOD(INT(F163*'Price rules'!$B$8),'Price rules'!$B$9)&lt;'Price rules'!$B$10,0,'Price rules'!$B$9))</x:f>
        <x:v>19200</x:v>
      </x:c>
      <x:c r="J163" s="30" t="n">
        <x:f>IF(N163="conditional","",SUMIFS($F$5:$F$394,$A$5:$A$394,A163,$C$5:$C$394,C163,$D$5:$D$394,"&lt;="&amp;D163)+SUMIF(Towers!$A$5:$A$30,A163,Towers!$E$5:$E$30))</x:f>
        <x:v>18250</x:v>
      </x:c>
      <x:c r="K163" s="30"/>
      <x:c r="L163" s="25" t="str">
        <x:v>splash</x:v>
      </x:c>
      <x:c r="M163" s="25" t="str">
        <x:v>Adds a map-wide bomb ability and improves normal bombs.</x:v>
      </x:c>
      <x:c r="N163" s="25" t="str">
        <x:v>fixed_upgrade_price</x:v>
      </x:c>
      <x:c r="O163" s="30" t="n">
        <x:v>16000</x:v>
      </x:c>
      <x:c r="P163" s="25" t="str">
        <x:v>https://raw.githubusercontent.com/Btd6ModHelper/btd6-game-data/main/Towers/MonkeyAce/MonkeyAce-040.json</x:v>
      </x:c>
      <x:c r="Q163" s="25" t="str">
        <x:v>https://raw.githubusercontent.com/hemisemidemipresent/cyberquincy/master/jsons/costs.json</x:v>
      </x:c>
      <x:c r="R163" s="25" t="str">
        <x:v>https://raw.githubusercontent.com/Btd6ModHelper/btd6-game-data/main/textTable.json</x:v>
      </x:c>
      <x:c r="S163" s="25"/>
      <x:c r="T163" s="25"/>
    </x:row>
    <x:row r="164" ht="64" customHeight="1">
      <x:c r="A164" s="25" t="str">
        <x:v>Monkey Ace</x:v>
      </x:c>
      <x:c r="B164" s="80" t="str">
        <x:v>050</x:v>
      </x:c>
      <x:c r="C164" s="25" t="str">
        <x:v>middle</x:v>
      </x:c>
      <x:c r="D164" s="25" t="n">
        <x:v>5</x:v>
      </x:c>
      <x:c r="E164" s="25" t="str">
        <x:v>Tsar Bomba</x:v>
      </x:c>
      <x:c r="F164" s="30" t="n">
        <x:v>26000</x:v>
      </x:c>
      <x:c r="G164" s="30" t="n">
        <x:f>IF(F164="","",FLOOR(INT(F164*'Price rules'!$B$5),'Price rules'!$B$9)+IF(MOD(INT(F164*'Price rules'!$B$5),'Price rules'!$B$9)&lt;'Price rules'!$B$10,0,'Price rules'!$B$9))</x:f>
        <x:v>22100</x:v>
      </x:c>
      <x:c r="H164" s="30" t="n">
        <x:f>IF(F164="","",FLOOR(INT(F164*'Price rules'!$B$7),'Price rules'!$B$9)+IF(MOD(INT(F164*'Price rules'!$B$7),'Price rules'!$B$9)&lt;'Price rules'!$B$10,0,'Price rules'!$B$9))</x:f>
        <x:v>28080</x:v>
      </x:c>
      <x:c r="I164" s="30" t="n">
        <x:f>IF(F164="","",FLOOR(INT(F164*'Price rules'!$B$8),'Price rules'!$B$9)+IF(MOD(INT(F164*'Price rules'!$B$8),'Price rules'!$B$9)&lt;'Price rules'!$B$10,0,'Price rules'!$B$9))</x:f>
        <x:v>31200</x:v>
      </x:c>
      <x:c r="J164" s="30" t="n">
        <x:f>IF(N164="conditional","",SUMIFS($F$5:$F$394,$A$5:$A$394,A164,$C$5:$C$394,C164,$D$5:$D$394,"&lt;="&amp;D164)+SUMIF(Towers!$A$5:$A$30,A164,Towers!$E$5:$E$30))</x:f>
        <x:v>44250</x:v>
      </x:c>
      <x:c r="K164" s="30"/>
      <x:c r="L164" s="25" t="str">
        <x:v>splash</x:v>
      </x:c>
      <x:c r="M164" s="25" t="str">
        <x:v>Upgrades the map-wide bombing ability.</x:v>
      </x:c>
      <x:c r="N164" s="25" t="str">
        <x:v>fixed_upgrade_price</x:v>
      </x:c>
      <x:c r="O164" s="30" t="n">
        <x:v>26000</x:v>
      </x:c>
      <x:c r="P164" s="25" t="str">
        <x:v>https://raw.githubusercontent.com/Btd6ModHelper/btd6-game-data/main/Towers/MonkeyAce/MonkeyAce-050.json</x:v>
      </x:c>
      <x:c r="Q164" s="25" t="str">
        <x:v>https://raw.githubusercontent.com/hemisemidemipresent/cyberquincy/master/jsons/costs.json</x:v>
      </x:c>
      <x:c r="R164" s="25" t="str">
        <x:v>https://raw.githubusercontent.com/Btd6ModHelper/btd6-game-data/main/textTable.json</x:v>
      </x:c>
      <x:c r="S164" s="25"/>
      <x:c r="T164" s="25"/>
    </x:row>
    <x:row r="165" ht="64" customHeight="1">
      <x:c r="A165" s="25" t="str">
        <x:v>Monkey Ace</x:v>
      </x:c>
      <x:c r="B165" s="80" t="str">
        <x:v>001</x:v>
      </x:c>
      <x:c r="C165" s="25" t="str">
        <x:v>bottom</x:v>
      </x:c>
      <x:c r="D165" s="25" t="n">
        <x:v>1</x:v>
      </x:c>
      <x:c r="E165" s="25" t="str">
        <x:v>Sharper Darts</x:v>
      </x:c>
      <x:c r="F165" s="30" t="n">
        <x:v>500</x:v>
      </x:c>
      <x:c r="G165" s="30" t="n">
        <x:f>IF(F165="","",FLOOR(INT(F165*'Price rules'!$B$5),'Price rules'!$B$9)+IF(MOD(INT(F165*'Price rules'!$B$5),'Price rules'!$B$9)&lt;'Price rules'!$B$10,0,'Price rules'!$B$9))</x:f>
        <x:v>425</x:v>
      </x:c>
      <x:c r="H165" s="30" t="n">
        <x:f>IF(F165="","",FLOOR(INT(F165*'Price rules'!$B$7),'Price rules'!$B$9)+IF(MOD(INT(F165*'Price rules'!$B$7),'Price rules'!$B$9)&lt;'Price rules'!$B$10,0,'Price rules'!$B$9))</x:f>
        <x:v>540</x:v>
      </x:c>
      <x:c r="I165" s="30" t="n">
        <x:f>IF(F165="","",FLOOR(INT(F165*'Price rules'!$B$8),'Price rules'!$B$9)+IF(MOD(INT(F165*'Price rules'!$B$8),'Price rules'!$B$9)&lt;'Price rules'!$B$10,0,'Price rules'!$B$9))</x:f>
        <x:v>600</x:v>
      </x:c>
      <x:c r="J165" s="30" t="n">
        <x:f>IF(N165="conditional","",SUMIFS($F$5:$F$394,$A$5:$A$394,A165,$C$5:$C$394,C165,$D$5:$D$394,"&lt;="&amp;D165)+SUMIF(Towers!$A$5:$A$30,A165,Towers!$E$5:$E$30))</x:f>
        <x:v>1300</x:v>
      </x:c>
      <x:c r="K165" s="30"/>
      <x:c r="L165" s="25" t="str">
        <x:v>splash</x:v>
      </x:c>
      <x:c r="M165" s="25" t="str">
        <x:v>Raises dart pierce to eight.</x:v>
      </x:c>
      <x:c r="N165" s="25" t="str">
        <x:v>fixed_upgrade_price</x:v>
      </x:c>
      <x:c r="O165" s="30" t="n">
        <x:v>500</x:v>
      </x:c>
      <x:c r="P165" s="25" t="str">
        <x:v>https://raw.githubusercontent.com/Btd6ModHelper/btd6-game-data/main/Towers/MonkeyAce/MonkeyAce-001.json</x:v>
      </x:c>
      <x:c r="Q165" s="25" t="str">
        <x:v>https://raw.githubusercontent.com/hemisemidemipresent/cyberquincy/master/jsons/costs.json</x:v>
      </x:c>
      <x:c r="R165" s="25" t="str">
        <x:v>https://raw.githubusercontent.com/Btd6ModHelper/btd6-game-data/main/textTable.json</x:v>
      </x:c>
      <x:c r="S165" s="25"/>
      <x:c r="T165" s="25"/>
    </x:row>
    <x:row r="166" ht="64" customHeight="1">
      <x:c r="A166" s="25" t="str">
        <x:v>Monkey Ace</x:v>
      </x:c>
      <x:c r="B166" s="80" t="str">
        <x:v>002</x:v>
      </x:c>
      <x:c r="C166" s="25" t="str">
        <x:v>bottom</x:v>
      </x:c>
      <x:c r="D166" s="25" t="n">
        <x:v>2</x:v>
      </x:c>
      <x:c r="E166" s="25" t="str">
        <x:v>Centered Path</x:v>
      </x:c>
      <x:c r="F166" s="30" t="n">
        <x:v>550</x:v>
      </x:c>
      <x:c r="G166" s="30" t="n">
        <x:f>IF(F166="","",FLOOR(INT(F166*'Price rules'!$B$5),'Price rules'!$B$9)+IF(MOD(INT(F166*'Price rules'!$B$5),'Price rules'!$B$9)&lt;'Price rules'!$B$10,0,'Price rules'!$B$9))</x:f>
        <x:v>465</x:v>
      </x:c>
      <x:c r="H166" s="30" t="n">
        <x:f>IF(F166="","",FLOOR(INT(F166*'Price rules'!$B$7),'Price rules'!$B$9)+IF(MOD(INT(F166*'Price rules'!$B$7),'Price rules'!$B$9)&lt;'Price rules'!$B$10,0,'Price rules'!$B$9))</x:f>
        <x:v>595</x:v>
      </x:c>
      <x:c r="I166" s="30" t="n">
        <x:f>IF(F166="","",FLOOR(INT(F166*'Price rules'!$B$8),'Price rules'!$B$9)+IF(MOD(INT(F166*'Price rules'!$B$8),'Price rules'!$B$9)&lt;'Price rules'!$B$10,0,'Price rules'!$B$9))</x:f>
        <x:v>660</x:v>
      </x:c>
      <x:c r="J166" s="30" t="n">
        <x:f>IF(N166="conditional","",SUMIFS($F$5:$F$394,$A$5:$A$394,A166,$C$5:$C$394,C166,$D$5:$D$394,"&lt;="&amp;D166)+SUMIF(Towers!$A$5:$A$30,A166,Towers!$E$5:$E$30))</x:f>
        <x:v>1850</x:v>
      </x:c>
      <x:c r="K166" s="30"/>
      <x:c r="L166" s="25" t="str">
        <x:v>splash</x:v>
      </x:c>
      <x:c r="M166" s="25" t="str">
        <x:v>Adds a movable central flight pattern.</x:v>
      </x:c>
      <x:c r="N166" s="25" t="str">
        <x:v>fixed_upgrade_price</x:v>
      </x:c>
      <x:c r="O166" s="30" t="n">
        <x:v>550</x:v>
      </x:c>
      <x:c r="P166" s="25" t="str">
        <x:v>https://raw.githubusercontent.com/Btd6ModHelper/btd6-game-data/main/Towers/MonkeyAce/MonkeyAce-002.json</x:v>
      </x:c>
      <x:c r="Q166" s="25" t="str">
        <x:v>https://raw.githubusercontent.com/hemisemidemipresent/cyberquincy/master/jsons/costs.json</x:v>
      </x:c>
      <x:c r="R166" s="25" t="str">
        <x:v>https://raw.githubusercontent.com/Btd6ModHelper/btd6-game-data/main/textTable.json</x:v>
      </x:c>
      <x:c r="S166" s="25"/>
      <x:c r="T166" s="25"/>
    </x:row>
    <x:row r="167" ht="64" customHeight="1">
      <x:c r="A167" s="25" t="str">
        <x:v>Monkey Ace</x:v>
      </x:c>
      <x:c r="B167" s="80" t="str">
        <x:v>003</x:v>
      </x:c>
      <x:c r="C167" s="25" t="str">
        <x:v>bottom</x:v>
      </x:c>
      <x:c r="D167" s="25" t="n">
        <x:v>3</x:v>
      </x:c>
      <x:c r="E167" s="25" t="str">
        <x:v>Neva-Miss Targeting</x:v>
      </x:c>
      <x:c r="F167" s="30" t="n">
        <x:v>2550</x:v>
      </x:c>
      <x:c r="G167" s="30" t="n">
        <x:f>IF(F167="","",FLOOR(INT(F167*'Price rules'!$B$5),'Price rules'!$B$9)+IF(MOD(INT(F167*'Price rules'!$B$5),'Price rules'!$B$9)&lt;'Price rules'!$B$10,0,'Price rules'!$B$9))</x:f>
        <x:v>2165</x:v>
      </x:c>
      <x:c r="H167" s="30" t="n">
        <x:f>IF(F167="","",FLOOR(INT(F167*'Price rules'!$B$7),'Price rules'!$B$9)+IF(MOD(INT(F167*'Price rules'!$B$7),'Price rules'!$B$9)&lt;'Price rules'!$B$10,0,'Price rules'!$B$9))</x:f>
        <x:v>2755</x:v>
      </x:c>
      <x:c r="I167" s="30" t="n">
        <x:f>IF(F167="","",FLOOR(INT(F167*'Price rules'!$B$8),'Price rules'!$B$9)+IF(MOD(INT(F167*'Price rules'!$B$8),'Price rules'!$B$9)&lt;'Price rules'!$B$10,0,'Price rules'!$B$9))</x:f>
        <x:v>3060</x:v>
      </x:c>
      <x:c r="J167" s="30" t="n">
        <x:f>IF(N167="conditional","",SUMIFS($F$5:$F$394,$A$5:$A$394,A167,$C$5:$C$394,C167,$D$5:$D$394,"&lt;="&amp;D167)+SUMIF(Towers!$A$5:$A$30,A167,Towers!$E$5:$E$30))</x:f>
        <x:v>4400</x:v>
      </x:c>
      <x:c r="K167" s="30"/>
      <x:c r="L167" s="25" t="str">
        <x:v>splash</x:v>
      </x:c>
      <x:c r="M167" s="25" t="str">
        <x:v>Adds homing to dart projectiles.</x:v>
      </x:c>
      <x:c r="N167" s="25" t="str">
        <x:v>fixed_upgrade_price</x:v>
      </x:c>
      <x:c r="O167" s="30" t="n">
        <x:v>2550</x:v>
      </x:c>
      <x:c r="P167" s="25" t="str">
        <x:v>https://raw.githubusercontent.com/Btd6ModHelper/btd6-game-data/main/Towers/MonkeyAce/MonkeyAce-003.json</x:v>
      </x:c>
      <x:c r="Q167" s="25" t="str">
        <x:v>https://raw.githubusercontent.com/hemisemidemipresent/cyberquincy/master/jsons/costs.json</x:v>
      </x:c>
      <x:c r="R167" s="25" t="str">
        <x:v>https://raw.githubusercontent.com/Btd6ModHelper/btd6-game-data/main/textTable.json</x:v>
      </x:c>
      <x:c r="S167" s="25"/>
      <x:c r="T167" s="25"/>
    </x:row>
    <x:row r="168" ht="64" customHeight="1">
      <x:c r="A168" s="25" t="str">
        <x:v>Monkey Ace</x:v>
      </x:c>
      <x:c r="B168" s="80" t="str">
        <x:v>004</x:v>
      </x:c>
      <x:c r="C168" s="25" t="str">
        <x:v>bottom</x:v>
      </x:c>
      <x:c r="D168" s="25" t="n">
        <x:v>4</x:v>
      </x:c>
      <x:c r="E168" s="25" t="str">
        <x:v>Spectre</x:v>
      </x:c>
      <x:c r="F168" s="30" t="n">
        <x:v>23400</x:v>
      </x:c>
      <x:c r="G168" s="30" t="n">
        <x:f>IF(F168="","",FLOOR(INT(F168*'Price rules'!$B$5),'Price rules'!$B$9)+IF(MOD(INT(F168*'Price rules'!$B$5),'Price rules'!$B$9)&lt;'Price rules'!$B$10,0,'Price rules'!$B$9))</x:f>
        <x:v>19890</x:v>
      </x:c>
      <x:c r="H168" s="30" t="n">
        <x:f>IF(F168="","",FLOOR(INT(F168*'Price rules'!$B$7),'Price rules'!$B$9)+IF(MOD(INT(F168*'Price rules'!$B$7),'Price rules'!$B$9)&lt;'Price rules'!$B$10,0,'Price rules'!$B$9))</x:f>
        <x:v>25270</x:v>
      </x:c>
      <x:c r="I168" s="30" t="n">
        <x:f>IF(F168="","",FLOOR(INT(F168*'Price rules'!$B$8),'Price rules'!$B$9)+IF(MOD(INT(F168*'Price rules'!$B$8),'Price rules'!$B$9)&lt;'Price rules'!$B$10,0,'Price rules'!$B$9))</x:f>
        <x:v>28080</x:v>
      </x:c>
      <x:c r="J168" s="30" t="n">
        <x:f>IF(N168="conditional","",SUMIFS($F$5:$F$394,$A$5:$A$394,A168,$C$5:$C$394,C168,$D$5:$D$394,"&lt;="&amp;D168)+SUMIF(Towers!$A$5:$A$30,A168,Towers!$E$5:$E$30))</x:f>
        <x:v>27800</x:v>
      </x:c>
      <x:c r="K168" s="30"/>
      <x:c r="L168" s="25" t="str">
        <x:v>rapid_fire</x:v>
      </x:c>
      <x:c r="M168" s="25" t="str">
        <x:v>Adds rapid targeted dart and bomb attacks.</x:v>
      </x:c>
      <x:c r="N168" s="25" t="str">
        <x:v>fixed_upgrade_price</x:v>
      </x:c>
      <x:c r="O168" s="30" t="n">
        <x:v>23400</x:v>
      </x:c>
      <x:c r="P168" s="25" t="str">
        <x:v>https://raw.githubusercontent.com/Btd6ModHelper/btd6-game-data/main/Towers/MonkeyAce/MonkeyAce-004.json</x:v>
      </x:c>
      <x:c r="Q168" s="25" t="str">
        <x:v>https://raw.githubusercontent.com/hemisemidemipresent/cyberquincy/master/jsons/costs.json</x:v>
      </x:c>
      <x:c r="R168" s="25" t="str">
        <x:v>https://raw.githubusercontent.com/Btd6ModHelper/btd6-game-data/main/textTable.json</x:v>
      </x:c>
      <x:c r="S168" s="25"/>
      <x:c r="T168" s="25"/>
    </x:row>
    <x:row r="169" ht="64" customHeight="1">
      <x:c r="A169" s="25" t="str">
        <x:v>Monkey Ace</x:v>
      </x:c>
      <x:c r="B169" s="80" t="str">
        <x:v>005</x:v>
      </x:c>
      <x:c r="C169" s="25" t="str">
        <x:v>bottom</x:v>
      </x:c>
      <x:c r="D169" s="25" t="n">
        <x:v>5</x:v>
      </x:c>
      <x:c r="E169" s="25" t="str">
        <x:v>Flying Fortress</x:v>
      </x:c>
      <x:c r="F169" s="30" t="n">
        <x:v>90000</x:v>
      </x:c>
      <x:c r="G169" s="30" t="n">
        <x:f>IF(F169="","",FLOOR(INT(F169*'Price rules'!$B$5),'Price rules'!$B$9)+IF(MOD(INT(F169*'Price rules'!$B$5),'Price rules'!$B$9)&lt;'Price rules'!$B$10,0,'Price rules'!$B$9))</x:f>
        <x:v>76500</x:v>
      </x:c>
      <x:c r="H169" s="30" t="n">
        <x:f>IF(F169="","",FLOOR(INT(F169*'Price rules'!$B$7),'Price rules'!$B$9)+IF(MOD(INT(F169*'Price rules'!$B$7),'Price rules'!$B$9)&lt;'Price rules'!$B$10,0,'Price rules'!$B$9))</x:f>
        <x:v>97200</x:v>
      </x:c>
      <x:c r="I169" s="30" t="n">
        <x:f>IF(F169="","",FLOOR(INT(F169*'Price rules'!$B$8),'Price rules'!$B$9)+IF(MOD(INT(F169*'Price rules'!$B$8),'Price rules'!$B$9)&lt;'Price rules'!$B$10,0,'Price rules'!$B$9))</x:f>
        <x:v>108000</x:v>
      </x:c>
      <x:c r="J169" s="30" t="n">
        <x:f>IF(N169="conditional","",SUMIFS($F$5:$F$394,$A$5:$A$394,A169,$C$5:$C$394,C169,$D$5:$D$394,"&lt;="&amp;D169)+SUMIF(Towers!$A$5:$A$30,A169,Towers!$E$5:$E$30))</x:f>
        <x:v>117800</x:v>
      </x:c>
      <x:c r="K169" s="30"/>
      <x:c r="L169" s="25" t="str">
        <x:v>rapid_fire</x:v>
      </x:c>
      <x:c r="M169" s="25" t="str">
        <x:v>Greatly increases the aircraft's sustained dart and bomb output.</x:v>
      </x:c>
      <x:c r="N169" s="25" t="str">
        <x:v>fixed_upgrade_price</x:v>
      </x:c>
      <x:c r="O169" s="30" t="n">
        <x:v>90000</x:v>
      </x:c>
      <x:c r="P169" s="25" t="str">
        <x:v>https://raw.githubusercontent.com/Btd6ModHelper/btd6-game-data/main/Towers/MonkeyAce/MonkeyAce-005.json</x:v>
      </x:c>
      <x:c r="Q169" s="25" t="str">
        <x:v>https://raw.githubusercontent.com/hemisemidemipresent/cyberquincy/master/jsons/costs.json</x:v>
      </x:c>
      <x:c r="R169" s="25" t="str">
        <x:v>https://raw.githubusercontent.com/Btd6ModHelper/btd6-game-data/main/textTable.json</x:v>
      </x:c>
      <x:c r="S169" s="25"/>
      <x:c r="T169" s="25"/>
    </x:row>
    <x:row r="170" ht="64" customHeight="1">
      <x:c r="A170" s="25" t="str">
        <x:v>Heli Pilot</x:v>
      </x:c>
      <x:c r="B170" s="80" t="str">
        <x:v>100</x:v>
      </x:c>
      <x:c r="C170" s="25" t="str">
        <x:v>top</x:v>
      </x:c>
      <x:c r="D170" s="25" t="n">
        <x:v>1</x:v>
      </x:c>
      <x:c r="E170" s="25" t="str">
        <x:v>Quad Darts</x:v>
      </x:c>
      <x:c r="F170" s="30" t="n">
        <x:v>800</x:v>
      </x:c>
      <x:c r="G170" s="30" t="n">
        <x:f>IF(F170="","",FLOOR(INT(F170*'Price rules'!$B$5),'Price rules'!$B$9)+IF(MOD(INT(F170*'Price rules'!$B$5),'Price rules'!$B$9)&lt;'Price rules'!$B$10,0,'Price rules'!$B$9))</x:f>
        <x:v>680</x:v>
      </x:c>
      <x:c r="H170" s="30" t="n">
        <x:f>IF(F170="","",FLOOR(INT(F170*'Price rules'!$B$7),'Price rules'!$B$9)+IF(MOD(INT(F170*'Price rules'!$B$7),'Price rules'!$B$9)&lt;'Price rules'!$B$10,0,'Price rules'!$B$9))</x:f>
        <x:v>865</x:v>
      </x:c>
      <x:c r="I170" s="30" t="n">
        <x:f>IF(F170="","",FLOOR(INT(F170*'Price rules'!$B$8),'Price rules'!$B$9)+IF(MOD(INT(F170*'Price rules'!$B$8),'Price rules'!$B$9)&lt;'Price rules'!$B$10,0,'Price rules'!$B$9))</x:f>
        <x:v>960</x:v>
      </x:c>
      <x:c r="J170" s="30" t="n">
        <x:f>IF(N170="conditional","",SUMIFS($F$5:$F$394,$A$5:$A$394,A170,$C$5:$C$394,C170,$D$5:$D$394,"&lt;="&amp;D170)+SUMIF(Towers!$A$5:$A$30,A170,Towers!$E$5:$E$30))</x:f>
        <x:v>2300</x:v>
      </x:c>
      <x:c r="K170" s="30"/>
      <x:c r="L170" s="25" t="str">
        <x:v>basic_dps</x:v>
      </x:c>
      <x:c r="M170" s="25" t="str">
        <x:v>Fires four darts per volley instead of two.</x:v>
      </x:c>
      <x:c r="N170" s="25" t="str">
        <x:v>fixed_upgrade_price</x:v>
      </x:c>
      <x:c r="O170" s="30" t="n">
        <x:v>800</x:v>
      </x:c>
      <x:c r="P170" s="25" t="str">
        <x:v>https://raw.githubusercontent.com/Btd6ModHelper/btd6-game-data/main/Towers/HeliPilot/HeliPilot-100.json</x:v>
      </x:c>
      <x:c r="Q170" s="25" t="str">
        <x:v>https://raw.githubusercontent.com/hemisemidemipresent/cyberquincy/master/jsons/costs.json</x:v>
      </x:c>
      <x:c r="R170" s="25" t="str">
        <x:v>https://raw.githubusercontent.com/Btd6ModHelper/btd6-game-data/main/textTable.json</x:v>
      </x:c>
      <x:c r="S170" s="25"/>
      <x:c r="T170" s="25"/>
    </x:row>
    <x:row r="171" ht="64" customHeight="1">
      <x:c r="A171" s="25" t="str">
        <x:v>Heli Pilot</x:v>
      </x:c>
      <x:c r="B171" s="80" t="str">
        <x:v>200</x:v>
      </x:c>
      <x:c r="C171" s="25" t="str">
        <x:v>top</x:v>
      </x:c>
      <x:c r="D171" s="25" t="n">
        <x:v>2</x:v>
      </x:c>
      <x:c r="E171" s="25" t="str">
        <x:v>Pursuit</x:v>
      </x:c>
      <x:c r="F171" s="30" t="n">
        <x:v>500</x:v>
      </x:c>
      <x:c r="G171" s="30" t="n">
        <x:f>IF(F171="","",FLOOR(INT(F171*'Price rules'!$B$5),'Price rules'!$B$9)+IF(MOD(INT(F171*'Price rules'!$B$5),'Price rules'!$B$9)&lt;'Price rules'!$B$10,0,'Price rules'!$B$9))</x:f>
        <x:v>425</x:v>
      </x:c>
      <x:c r="H171" s="30" t="n">
        <x:f>IF(F171="","",FLOOR(INT(F171*'Price rules'!$B$7),'Price rules'!$B$9)+IF(MOD(INT(F171*'Price rules'!$B$7),'Price rules'!$B$9)&lt;'Price rules'!$B$10,0,'Price rules'!$B$9))</x:f>
        <x:v>540</x:v>
      </x:c>
      <x:c r="I171" s="30" t="n">
        <x:f>IF(F171="","",FLOOR(INT(F171*'Price rules'!$B$8),'Price rules'!$B$9)+IF(MOD(INT(F171*'Price rules'!$B$8),'Price rules'!$B$9)&lt;'Price rules'!$B$10,0,'Price rules'!$B$9))</x:f>
        <x:v>600</x:v>
      </x:c>
      <x:c r="J171" s="30" t="n">
        <x:f>IF(N171="conditional","",SUMIFS($F$5:$F$394,$A$5:$A$394,A171,$C$5:$C$394,C171,$D$5:$D$394,"&lt;="&amp;D171)+SUMIF(Towers!$A$5:$A$30,A171,Towers!$E$5:$E$30))</x:f>
        <x:v>2800</x:v>
      </x:c>
      <x:c r="K171" s="30"/>
      <x:c r="L171" s="25" t="str">
        <x:v>basic_dps</x:v>
      </x:c>
      <x:c r="M171" s="25" t="str">
        <x:v>Adds automatic pursuit of Bloons.</x:v>
      </x:c>
      <x:c r="N171" s="25" t="str">
        <x:v>fixed_upgrade_price</x:v>
      </x:c>
      <x:c r="O171" s="30" t="n">
        <x:v>500</x:v>
      </x:c>
      <x:c r="P171" s="25" t="str">
        <x:v>https://raw.githubusercontent.com/Btd6ModHelper/btd6-game-data/main/Towers/HeliPilot/HeliPilot-200.json</x:v>
      </x:c>
      <x:c r="Q171" s="25" t="str">
        <x:v>https://raw.githubusercontent.com/hemisemidemipresent/cyberquincy/master/jsons/costs.json</x:v>
      </x:c>
      <x:c r="R171" s="25" t="str">
        <x:v>https://raw.githubusercontent.com/Btd6ModHelper/btd6-game-data/main/textTable.json</x:v>
      </x:c>
      <x:c r="S171" s="25"/>
      <x:c r="T171" s="25"/>
    </x:row>
    <x:row r="172" ht="64" customHeight="1">
      <x:c r="A172" s="25" t="str">
        <x:v>Heli Pilot</x:v>
      </x:c>
      <x:c r="B172" s="80" t="str">
        <x:v>300</x:v>
      </x:c>
      <x:c r="C172" s="25" t="str">
        <x:v>top</x:v>
      </x:c>
      <x:c r="D172" s="25" t="n">
        <x:v>3</x:v>
      </x:c>
      <x:c r="E172" s="25" t="str">
        <x:v>Razor Rotors</x:v>
      </x:c>
      <x:c r="F172" s="30" t="n">
        <x:v>1450</x:v>
      </x:c>
      <x:c r="G172" s="30" t="n">
        <x:f>IF(F172="","",FLOOR(INT(F172*'Price rules'!$B$5),'Price rules'!$B$9)+IF(MOD(INT(F172*'Price rules'!$B$5),'Price rules'!$B$9)&lt;'Price rules'!$B$10,0,'Price rules'!$B$9))</x:f>
        <x:v>1230</x:v>
      </x:c>
      <x:c r="H172" s="30" t="n">
        <x:f>IF(F172="","",FLOOR(INT(F172*'Price rules'!$B$7),'Price rules'!$B$9)+IF(MOD(INT(F172*'Price rules'!$B$7),'Price rules'!$B$9)&lt;'Price rules'!$B$10,0,'Price rules'!$B$9))</x:f>
        <x:v>1565</x:v>
      </x:c>
      <x:c r="I172" s="30" t="n">
        <x:f>IF(F172="","",FLOOR(INT(F172*'Price rules'!$B$8),'Price rules'!$B$9)+IF(MOD(INT(F172*'Price rules'!$B$8),'Price rules'!$B$9)&lt;'Price rules'!$B$10,0,'Price rules'!$B$9))</x:f>
        <x:v>1740</x:v>
      </x:c>
      <x:c r="J172" s="30" t="n">
        <x:f>IF(N172="conditional","",SUMIFS($F$5:$F$394,$A$5:$A$394,A172,$C$5:$C$394,C172,$D$5:$D$394,"&lt;="&amp;D172)+SUMIF(Towers!$A$5:$A$30,A172,Towers!$E$5:$E$30))</x:f>
        <x:v>4250</x:v>
      </x:c>
      <x:c r="K172" s="30"/>
      <x:c r="L172" s="25" t="str">
        <x:v>rapid_fire</x:v>
      </x:c>
      <x:c r="M172" s="25" t="str">
        <x:v>Adds contact damage that can affect Lead and Frozen targets.</x:v>
      </x:c>
      <x:c r="N172" s="25" t="str">
        <x:v>fixed_upgrade_price</x:v>
      </x:c>
      <x:c r="O172" s="30" t="n">
        <x:v>1450</x:v>
      </x:c>
      <x:c r="P172" s="25" t="str">
        <x:v>https://raw.githubusercontent.com/Btd6ModHelper/btd6-game-data/main/Towers/HeliPilot/HeliPilot-300.json</x:v>
      </x:c>
      <x:c r="Q172" s="25" t="str">
        <x:v>https://raw.githubusercontent.com/hemisemidemipresent/cyberquincy/master/jsons/costs.json</x:v>
      </x:c>
      <x:c r="R172" s="25" t="str">
        <x:v>https://raw.githubusercontent.com/Btd6ModHelper/btd6-game-data/main/textTable.json</x:v>
      </x:c>
      <x:c r="S172" s="25"/>
      <x:c r="T172" s="25"/>
    </x:row>
    <x:row r="173" ht="64" customHeight="1">
      <x:c r="A173" s="25" t="str">
        <x:v>Heli Pilot</x:v>
      </x:c>
      <x:c r="B173" s="80" t="str">
        <x:v>400</x:v>
      </x:c>
      <x:c r="C173" s="25" t="str">
        <x:v>top</x:v>
      </x:c>
      <x:c r="D173" s="25" t="n">
        <x:v>4</x:v>
      </x:c>
      <x:c r="E173" s="25" t="str">
        <x:v>Apache Dartship</x:v>
      </x:c>
      <x:c r="F173" s="30" t="n">
        <x:v>20000</x:v>
      </x:c>
      <x:c r="G173" s="30" t="n">
        <x:f>IF(F173="","",FLOOR(INT(F173*'Price rules'!$B$5),'Price rules'!$B$9)+IF(MOD(INT(F173*'Price rules'!$B$5),'Price rules'!$B$9)&lt;'Price rules'!$B$10,0,'Price rules'!$B$9))</x:f>
        <x:v>17000</x:v>
      </x:c>
      <x:c r="H173" s="30" t="n">
        <x:f>IF(F173="","",FLOOR(INT(F173*'Price rules'!$B$7),'Price rules'!$B$9)+IF(MOD(INT(F173*'Price rules'!$B$7),'Price rules'!$B$9)&lt;'Price rules'!$B$10,0,'Price rules'!$B$9))</x:f>
        <x:v>21600</x:v>
      </x:c>
      <x:c r="I173" s="30" t="n">
        <x:f>IF(F173="","",FLOOR(INT(F173*'Price rules'!$B$8),'Price rules'!$B$9)+IF(MOD(INT(F173*'Price rules'!$B$8),'Price rules'!$B$9)&lt;'Price rules'!$B$10,0,'Price rules'!$B$9))</x:f>
        <x:v>24000</x:v>
      </x:c>
      <x:c r="J173" s="30" t="n">
        <x:f>IF(N173="conditional","",SUMIFS($F$5:$F$394,$A$5:$A$394,A173,$C$5:$C$394,C173,$D$5:$D$394,"&lt;="&amp;D173)+SUMIF(Towers!$A$5:$A$30,A173,Towers!$E$5:$E$30))</x:f>
        <x:v>24250</x:v>
      </x:c>
      <x:c r="K173" s="30"/>
      <x:c r="L173" s="25" t="str">
        <x:v>rapid_fire</x:v>
      </x:c>
      <x:c r="M173" s="25" t="str">
        <x:v>Adds machine guns and a missile array.</x:v>
      </x:c>
      <x:c r="N173" s="25" t="str">
        <x:v>fixed_upgrade_price</x:v>
      </x:c>
      <x:c r="O173" s="30" t="n">
        <x:v>20000</x:v>
      </x:c>
      <x:c r="P173" s="25" t="str">
        <x:v>https://raw.githubusercontent.com/Btd6ModHelper/btd6-game-data/main/Towers/HeliPilot/HeliPilot-400.json</x:v>
      </x:c>
      <x:c r="Q173" s="25" t="str">
        <x:v>https://raw.githubusercontent.com/hemisemidemipresent/cyberquincy/master/jsons/costs.json</x:v>
      </x:c>
      <x:c r="R173" s="25" t="str">
        <x:v>https://raw.githubusercontent.com/Btd6ModHelper/btd6-game-data/main/textTable.json</x:v>
      </x:c>
      <x:c r="S173" s="25"/>
      <x:c r="T173" s="25"/>
    </x:row>
    <x:row r="174" ht="64" customHeight="1">
      <x:c r="A174" s="25" t="str">
        <x:v>Heli Pilot</x:v>
      </x:c>
      <x:c r="B174" s="80" t="str">
        <x:v>500</x:v>
      </x:c>
      <x:c r="C174" s="25" t="str">
        <x:v>top</x:v>
      </x:c>
      <x:c r="D174" s="25" t="n">
        <x:v>5</x:v>
      </x:c>
      <x:c r="E174" s="25" t="str">
        <x:v>Apache Prime</x:v>
      </x:c>
      <x:c r="F174" s="30" t="n">
        <x:v>45000</x:v>
      </x:c>
      <x:c r="G174" s="30" t="n">
        <x:f>IF(F174="","",FLOOR(INT(F174*'Price rules'!$B$5),'Price rules'!$B$9)+IF(MOD(INT(F174*'Price rules'!$B$5),'Price rules'!$B$9)&lt;'Price rules'!$B$10,0,'Price rules'!$B$9))</x:f>
        <x:v>38250</x:v>
      </x:c>
      <x:c r="H174" s="30" t="n">
        <x:f>IF(F174="","",FLOOR(INT(F174*'Price rules'!$B$7),'Price rules'!$B$9)+IF(MOD(INT(F174*'Price rules'!$B$7),'Price rules'!$B$9)&lt;'Price rules'!$B$10,0,'Price rules'!$B$9))</x:f>
        <x:v>48600</x:v>
      </x:c>
      <x:c r="I174" s="30" t="n">
        <x:f>IF(F174="","",FLOOR(INT(F174*'Price rules'!$B$8),'Price rules'!$B$9)+IF(MOD(INT(F174*'Price rules'!$B$8),'Price rules'!$B$9)&lt;'Price rules'!$B$10,0,'Price rules'!$B$9))</x:f>
        <x:v>54000</x:v>
      </x:c>
      <x:c r="J174" s="30" t="n">
        <x:f>IF(N174="conditional","",SUMIFS($F$5:$F$394,$A$5:$A$394,A174,$C$5:$C$394,C174,$D$5:$D$394,"&lt;="&amp;D174)+SUMIF(Towers!$A$5:$A$30,A174,Towers!$E$5:$E$30))</x:f>
        <x:v>69250</x:v>
      </x:c>
      <x:c r="K174" s="30"/>
      <x:c r="L174" s="25" t="str">
        <x:v>rapid_fire</x:v>
      </x:c>
      <x:c r="M174" s="25" t="str">
        <x:v>Upgrades the Apache's weapons for sustained damage.</x:v>
      </x:c>
      <x:c r="N174" s="25" t="str">
        <x:v>fixed_upgrade_price</x:v>
      </x:c>
      <x:c r="O174" s="30" t="n">
        <x:v>45000</x:v>
      </x:c>
      <x:c r="P174" s="25" t="str">
        <x:v>https://raw.githubusercontent.com/Btd6ModHelper/btd6-game-data/main/Towers/HeliPilot/HeliPilot-500.json</x:v>
      </x:c>
      <x:c r="Q174" s="25" t="str">
        <x:v>https://raw.githubusercontent.com/hemisemidemipresent/cyberquincy/master/jsons/costs.json</x:v>
      </x:c>
      <x:c r="R174" s="25" t="str">
        <x:v>https://raw.githubusercontent.com/Btd6ModHelper/btd6-game-data/main/textTable.json</x:v>
      </x:c>
      <x:c r="S174" s="25"/>
      <x:c r="T174" s="25"/>
    </x:row>
    <x:row r="175" ht="64" customHeight="1">
      <x:c r="A175" s="25" t="str">
        <x:v>Heli Pilot</x:v>
      </x:c>
      <x:c r="B175" s="80" t="str">
        <x:v>010</x:v>
      </x:c>
      <x:c r="C175" s="25" t="str">
        <x:v>middle</x:v>
      </x:c>
      <x:c r="D175" s="25" t="n">
        <x:v>1</x:v>
      </x:c>
      <x:c r="E175" s="25" t="str">
        <x:v>Bigger Jets</x:v>
      </x:c>
      <x:c r="F175" s="30" t="n">
        <x:v>300</x:v>
      </x:c>
      <x:c r="G175" s="30" t="n">
        <x:f>IF(F175="","",FLOOR(INT(F175*'Price rules'!$B$5),'Price rules'!$B$9)+IF(MOD(INT(F175*'Price rules'!$B$5),'Price rules'!$B$9)&lt;'Price rules'!$B$10,0,'Price rules'!$B$9))</x:f>
        <x:v>255</x:v>
      </x:c>
      <x:c r="H175" s="30" t="n">
        <x:f>IF(F175="","",FLOOR(INT(F175*'Price rules'!$B$7),'Price rules'!$B$9)+IF(MOD(INT(F175*'Price rules'!$B$7),'Price rules'!$B$9)&lt;'Price rules'!$B$10,0,'Price rules'!$B$9))</x:f>
        <x:v>325</x:v>
      </x:c>
      <x:c r="I175" s="30" t="n">
        <x:f>IF(F175="","",FLOOR(INT(F175*'Price rules'!$B$8),'Price rules'!$B$9)+IF(MOD(INT(F175*'Price rules'!$B$8),'Price rules'!$B$9)&lt;'Price rules'!$B$10,0,'Price rules'!$B$9))</x:f>
        <x:v>360</x:v>
      </x:c>
      <x:c r="J175" s="30" t="n">
        <x:f>IF(N175="conditional","",SUMIFS($F$5:$F$394,$A$5:$A$394,A175,$C$5:$C$394,C175,$D$5:$D$394,"&lt;="&amp;D175)+SUMIF(Towers!$A$5:$A$30,A175,Towers!$E$5:$E$30))</x:f>
        <x:v>1800</x:v>
      </x:c>
      <x:c r="K175" s="30"/>
      <x:c r="L175" s="25" t="str">
        <x:v>basic_dps</x:v>
      </x:c>
      <x:c r="M175" s="25" t="str">
        <x:v>Increases helicopter movement speed.</x:v>
      </x:c>
      <x:c r="N175" s="25" t="str">
        <x:v>fixed_upgrade_price</x:v>
      </x:c>
      <x:c r="O175" s="30" t="n">
        <x:v>300</x:v>
      </x:c>
      <x:c r="P175" s="25" t="str">
        <x:v>https://raw.githubusercontent.com/Btd6ModHelper/btd6-game-data/main/Towers/HeliPilot/HeliPilot-010.json</x:v>
      </x:c>
      <x:c r="Q175" s="25" t="str">
        <x:v>https://raw.githubusercontent.com/hemisemidemipresent/cyberquincy/master/jsons/costs.json</x:v>
      </x:c>
      <x:c r="R175" s="25" t="str">
        <x:v>https://raw.githubusercontent.com/Btd6ModHelper/btd6-game-data/main/textTable.json</x:v>
      </x:c>
      <x:c r="S175" s="25"/>
      <x:c r="T175" s="25"/>
    </x:row>
    <x:row r="176" ht="64" customHeight="1">
      <x:c r="A176" s="25" t="str">
        <x:v>Heli Pilot</x:v>
      </x:c>
      <x:c r="B176" s="80" t="str">
        <x:v>020</x:v>
      </x:c>
      <x:c r="C176" s="25" t="str">
        <x:v>middle</x:v>
      </x:c>
      <x:c r="D176" s="25" t="n">
        <x:v>2</x:v>
      </x:c>
      <x:c r="E176" s="25" t="str">
        <x:v>IFR</x:v>
      </x:c>
      <x:c r="F176" s="30" t="n">
        <x:v>600</x:v>
      </x:c>
      <x:c r="G176" s="30" t="n">
        <x:f>IF(F176="","",FLOOR(INT(F176*'Price rules'!$B$5),'Price rules'!$B$9)+IF(MOD(INT(F176*'Price rules'!$B$5),'Price rules'!$B$9)&lt;'Price rules'!$B$10,0,'Price rules'!$B$9))</x:f>
        <x:v>510</x:v>
      </x:c>
      <x:c r="H176" s="30" t="n">
        <x:f>IF(F176="","",FLOOR(INT(F176*'Price rules'!$B$7),'Price rules'!$B$9)+IF(MOD(INT(F176*'Price rules'!$B$7),'Price rules'!$B$9)&lt;'Price rules'!$B$10,0,'Price rules'!$B$9))</x:f>
        <x:v>650</x:v>
      </x:c>
      <x:c r="I176" s="30" t="n">
        <x:f>IF(F176="","",FLOOR(INT(F176*'Price rules'!$B$8),'Price rules'!$B$9)+IF(MOD(INT(F176*'Price rules'!$B$8),'Price rules'!$B$9)&lt;'Price rules'!$B$10,0,'Price rules'!$B$9))</x:f>
        <x:v>720</x:v>
      </x:c>
      <x:c r="J176" s="30" t="n">
        <x:f>IF(N176="conditional","",SUMIFS($F$5:$F$394,$A$5:$A$394,A176,$C$5:$C$394,C176,$D$5:$D$394,"&lt;="&amp;D176)+SUMIF(Towers!$A$5:$A$30,A176,Towers!$E$5:$E$30))</x:f>
        <x:v>2400</x:v>
      </x:c>
      <x:c r="K176" s="30"/>
      <x:c r="L176" s="25" t="str">
        <x:v>basic_dps</x:v>
      </x:c>
      <x:c r="M176" s="25" t="str">
        <x:v>Adds Camo detection.</x:v>
      </x:c>
      <x:c r="N176" s="25" t="str">
        <x:v>fixed_upgrade_price</x:v>
      </x:c>
      <x:c r="O176" s="30" t="n">
        <x:v>600</x:v>
      </x:c>
      <x:c r="P176" s="25" t="str">
        <x:v>https://raw.githubusercontent.com/Btd6ModHelper/btd6-game-data/main/Towers/HeliPilot/HeliPilot-020.json</x:v>
      </x:c>
      <x:c r="Q176" s="25" t="str">
        <x:v>https://raw.githubusercontent.com/hemisemidemipresent/cyberquincy/master/jsons/costs.json</x:v>
      </x:c>
      <x:c r="R176" s="25" t="str">
        <x:v>https://raw.githubusercontent.com/Btd6ModHelper/btd6-game-data/main/textTable.json</x:v>
      </x:c>
      <x:c r="S176" s="25"/>
      <x:c r="T176" s="25"/>
    </x:row>
    <x:row r="177" ht="64" customHeight="1">
      <x:c r="A177" s="25" t="str">
        <x:v>Heli Pilot</x:v>
      </x:c>
      <x:c r="B177" s="80" t="str">
        <x:v>030</x:v>
      </x:c>
      <x:c r="C177" s="25" t="str">
        <x:v>middle</x:v>
      </x:c>
      <x:c r="D177" s="25" t="n">
        <x:v>3</x:v>
      </x:c>
      <x:c r="E177" s="25" t="str">
        <x:v>Downdraft</x:v>
      </x:c>
      <x:c r="F177" s="30" t="n">
        <x:v>3500</x:v>
      </x:c>
      <x:c r="G177" s="30" t="n">
        <x:f>IF(F177="","",FLOOR(INT(F177*'Price rules'!$B$5),'Price rules'!$B$9)+IF(MOD(INT(F177*'Price rules'!$B$5),'Price rules'!$B$9)&lt;'Price rules'!$B$10,0,'Price rules'!$B$9))</x:f>
        <x:v>2975</x:v>
      </x:c>
      <x:c r="H177" s="30" t="n">
        <x:f>IF(F177="","",FLOOR(INT(F177*'Price rules'!$B$7),'Price rules'!$B$9)+IF(MOD(INT(F177*'Price rules'!$B$7),'Price rules'!$B$9)&lt;'Price rules'!$B$10,0,'Price rules'!$B$9))</x:f>
        <x:v>3780</x:v>
      </x:c>
      <x:c r="I177" s="30" t="n">
        <x:f>IF(F177="","",FLOOR(INT(F177*'Price rules'!$B$8),'Price rules'!$B$9)+IF(MOD(INT(F177*'Price rules'!$B$8),'Price rules'!$B$9)&lt;'Price rules'!$B$10,0,'Price rules'!$B$9))</x:f>
        <x:v>4200</x:v>
      </x:c>
      <x:c r="J177" s="30" t="n">
        <x:f>IF(N177="conditional","",SUMIFS($F$5:$F$394,$A$5:$A$394,A177,$C$5:$C$394,C177,$D$5:$D$394,"&lt;="&amp;D177)+SUMIF(Towers!$A$5:$A$30,A177,Towers!$E$5:$E$30))</x:f>
        <x:v>5900</x:v>
      </x:c>
      <x:c r="K177" s="30"/>
      <x:c r="L177" s="25" t="str">
        <x:v>slow</x:v>
      </x:c>
      <x:c r="M177" s="25" t="str">
        <x:v>Pushes ordinary Bloons back toward the entrance.</x:v>
      </x:c>
      <x:c r="N177" s="25" t="str">
        <x:v>fixed_upgrade_price</x:v>
      </x:c>
      <x:c r="O177" s="30" t="n">
        <x:v>3500</x:v>
      </x:c>
      <x:c r="P177" s="25" t="str">
        <x:v>https://raw.githubusercontent.com/Btd6ModHelper/btd6-game-data/main/Towers/HeliPilot/HeliPilot-030.json</x:v>
      </x:c>
      <x:c r="Q177" s="25" t="str">
        <x:v>https://raw.githubusercontent.com/hemisemidemipresent/cyberquincy/master/jsons/costs.json</x:v>
      </x:c>
      <x:c r="R177" s="25" t="str">
        <x:v>https://raw.githubusercontent.com/Btd6ModHelper/btd6-game-data/main/textTable.json</x:v>
      </x:c>
      <x:c r="S177" s="25"/>
      <x:c r="T177" s="25"/>
    </x:row>
    <x:row r="178" ht="64" customHeight="1">
      <x:c r="A178" s="25" t="str">
        <x:v>Heli Pilot</x:v>
      </x:c>
      <x:c r="B178" s="80" t="str">
        <x:v>040</x:v>
      </x:c>
      <x:c r="C178" s="25" t="str">
        <x:v>middle</x:v>
      </x:c>
      <x:c r="D178" s="25" t="n">
        <x:v>4</x:v>
      </x:c>
      <x:c r="E178" s="25" t="str">
        <x:v>Support Chinook</x:v>
      </x:c>
      <x:c r="F178" s="30" t="n">
        <x:v>9500</x:v>
      </x:c>
      <x:c r="G178" s="30" t="n">
        <x:f>IF(F178="","",FLOOR(INT(F178*'Price rules'!$B$5),'Price rules'!$B$9)+IF(MOD(INT(F178*'Price rules'!$B$5),'Price rules'!$B$9)&lt;'Price rules'!$B$10,0,'Price rules'!$B$9))</x:f>
        <x:v>8075</x:v>
      </x:c>
      <x:c r="H178" s="30" t="n">
        <x:f>IF(F178="","",FLOOR(INT(F178*'Price rules'!$B$7),'Price rules'!$B$9)+IF(MOD(INT(F178*'Price rules'!$B$7),'Price rules'!$B$9)&lt;'Price rules'!$B$10,0,'Price rules'!$B$9))</x:f>
        <x:v>10260</x:v>
      </x:c>
      <x:c r="I178" s="30" t="n">
        <x:f>IF(F178="","",FLOOR(INT(F178*'Price rules'!$B$8),'Price rules'!$B$9)+IF(MOD(INT(F178*'Price rules'!$B$8),'Price rules'!$B$9)&lt;'Price rules'!$B$10,0,'Price rules'!$B$9))</x:f>
        <x:v>11400</x:v>
      </x:c>
      <x:c r="J178" s="30" t="n">
        <x:f>IF(N178="conditional","",SUMIFS($F$5:$F$394,$A$5:$A$394,A178,$C$5:$C$394,C178,$D$5:$D$394,"&lt;="&amp;D178)+SUMIF(Towers!$A$5:$A$30,A178,Towers!$E$5:$E$30))</x:f>
        <x:v>15400</x:v>
      </x:c>
      <x:c r="K178" s="30"/>
      <x:c r="L178" s="25" t="str">
        <x:v>support</x:v>
      </x:c>
      <x:c r="M178" s="25" t="str">
        <x:v>Adds supply drops, tower relocation, and stronger knockback.</x:v>
      </x:c>
      <x:c r="N178" s="25" t="str">
        <x:v>fixed_upgrade_price</x:v>
      </x:c>
      <x:c r="O178" s="30" t="n">
        <x:v>9500</x:v>
      </x:c>
      <x:c r="P178" s="25" t="str">
        <x:v>https://raw.githubusercontent.com/Btd6ModHelper/btd6-game-data/main/Towers/HeliPilot/HeliPilot-040.json</x:v>
      </x:c>
      <x:c r="Q178" s="25" t="str">
        <x:v>https://raw.githubusercontent.com/hemisemidemipresent/cyberquincy/master/jsons/costs.json</x:v>
      </x:c>
      <x:c r="R178" s="25" t="str">
        <x:v>https://raw.githubusercontent.com/Btd6ModHelper/btd6-game-data/main/textTable.json</x:v>
      </x:c>
      <x:c r="S178" s="25"/>
      <x:c r="T178" s="25"/>
    </x:row>
    <x:row r="179" ht="64" customHeight="1">
      <x:c r="A179" s="25" t="str">
        <x:v>Heli Pilot</x:v>
      </x:c>
      <x:c r="B179" s="80" t="str">
        <x:v>050</x:v>
      </x:c>
      <x:c r="C179" s="25" t="str">
        <x:v>middle</x:v>
      </x:c>
      <x:c r="D179" s="25" t="n">
        <x:v>5</x:v>
      </x:c>
      <x:c r="E179" s="25" t="str">
        <x:v>Special Poperations</x:v>
      </x:c>
      <x:c r="F179" s="30" t="n">
        <x:v>30000</x:v>
      </x:c>
      <x:c r="G179" s="30" t="n">
        <x:f>IF(F179="","",FLOOR(INT(F179*'Price rules'!$B$5),'Price rules'!$B$9)+IF(MOD(INT(F179*'Price rules'!$B$5),'Price rules'!$B$9)&lt;'Price rules'!$B$10,0,'Price rules'!$B$9))</x:f>
        <x:v>25500</x:v>
      </x:c>
      <x:c r="H179" s="30" t="n">
        <x:f>IF(F179="","",FLOOR(INT(F179*'Price rules'!$B$7),'Price rules'!$B$9)+IF(MOD(INT(F179*'Price rules'!$B$7),'Price rules'!$B$9)&lt;'Price rules'!$B$10,0,'Price rules'!$B$9))</x:f>
        <x:v>32400</x:v>
      </x:c>
      <x:c r="I179" s="30" t="n">
        <x:f>IF(F179="","",FLOOR(INT(F179*'Price rules'!$B$8),'Price rules'!$B$9)+IF(MOD(INT(F179*'Price rules'!$B$8),'Price rules'!$B$9)&lt;'Price rules'!$B$10,0,'Price rules'!$B$9))</x:f>
        <x:v>36000</x:v>
      </x:c>
      <x:c r="J179" s="30" t="n">
        <x:f>IF(N179="conditional","",SUMIFS($F$5:$F$394,$A$5:$A$394,A179,$C$5:$C$394,C179,$D$5:$D$394,"&lt;="&amp;D179)+SUMIF(Towers!$A$5:$A$30,A179,Towers!$E$5:$E$30))</x:f>
        <x:v>45400</x:v>
      </x:c>
      <x:c r="K179" s="30"/>
      <x:c r="L179" s="25" t="str">
        <x:v>support</x:v>
      </x:c>
      <x:c r="M179" s="25" t="str">
        <x:v>Adds a deployable Monkey Marine.</x:v>
      </x:c>
      <x:c r="N179" s="25" t="str">
        <x:v>fixed_upgrade_price</x:v>
      </x:c>
      <x:c r="O179" s="30" t="n">
        <x:v>30000</x:v>
      </x:c>
      <x:c r="P179" s="25" t="str">
        <x:v>https://raw.githubusercontent.com/Btd6ModHelper/btd6-game-data/main/Towers/HeliPilot/HeliPilot-050.json</x:v>
      </x:c>
      <x:c r="Q179" s="25" t="str">
        <x:v>https://raw.githubusercontent.com/hemisemidemipresent/cyberquincy/master/jsons/costs.json</x:v>
      </x:c>
      <x:c r="R179" s="25" t="str">
        <x:v>https://raw.githubusercontent.com/Btd6ModHelper/btd6-game-data/main/textTable.json</x:v>
      </x:c>
      <x:c r="S179" s="25"/>
      <x:c r="T179" s="25"/>
    </x:row>
    <x:row r="180" ht="64" customHeight="1">
      <x:c r="A180" s="25" t="str">
        <x:v>Heli Pilot</x:v>
      </x:c>
      <x:c r="B180" s="80" t="str">
        <x:v>001</x:v>
      </x:c>
      <x:c r="C180" s="25" t="str">
        <x:v>bottom</x:v>
      </x:c>
      <x:c r="D180" s="25" t="n">
        <x:v>1</x:v>
      </x:c>
      <x:c r="E180" s="25" t="str">
        <x:v>Faster Firing</x:v>
      </x:c>
      <x:c r="F180" s="30" t="n">
        <x:v>250</x:v>
      </x:c>
      <x:c r="G180" s="30" t="n">
        <x:f>IF(F180="","",FLOOR(INT(F180*'Price rules'!$B$5),'Price rules'!$B$9)+IF(MOD(INT(F180*'Price rules'!$B$5),'Price rules'!$B$9)&lt;'Price rules'!$B$10,0,'Price rules'!$B$9))</x:f>
        <x:v>210</x:v>
      </x:c>
      <x:c r="H180" s="30" t="n">
        <x:f>IF(F180="","",FLOOR(INT(F180*'Price rules'!$B$7),'Price rules'!$B$9)+IF(MOD(INT(F180*'Price rules'!$B$7),'Price rules'!$B$9)&lt;'Price rules'!$B$10,0,'Price rules'!$B$9))</x:f>
        <x:v>270</x:v>
      </x:c>
      <x:c r="I180" s="30" t="n">
        <x:f>IF(F180="","",FLOOR(INT(F180*'Price rules'!$B$8),'Price rules'!$B$9)+IF(MOD(INT(F180*'Price rules'!$B$8),'Price rules'!$B$9)&lt;'Price rules'!$B$10,0,'Price rules'!$B$9))</x:f>
        <x:v>300</x:v>
      </x:c>
      <x:c r="J180" s="30" t="n">
        <x:f>IF(N180="conditional","",SUMIFS($F$5:$F$394,$A$5:$A$394,A180,$C$5:$C$394,C180,$D$5:$D$394,"&lt;="&amp;D180)+SUMIF(Towers!$A$5:$A$30,A180,Towers!$E$5:$E$30))</x:f>
        <x:v>1750</x:v>
      </x:c>
      <x:c r="K180" s="30"/>
      <x:c r="L180" s="25" t="str">
        <x:v>basic_dps</x:v>
      </x:c>
      <x:c r="M180" s="25" t="str">
        <x:v>Increases the firing speed of helicopter attacks.</x:v>
      </x:c>
      <x:c r="N180" s="25" t="str">
        <x:v>fixed_upgrade_price</x:v>
      </x:c>
      <x:c r="O180" s="30" t="n">
        <x:v>250</x:v>
      </x:c>
      <x:c r="P180" s="25" t="str">
        <x:v>https://raw.githubusercontent.com/Btd6ModHelper/btd6-game-data/main/Towers/HeliPilot/HeliPilot-001.json</x:v>
      </x:c>
      <x:c r="Q180" s="25" t="str">
        <x:v>https://raw.githubusercontent.com/hemisemidemipresent/cyberquincy/master/jsons/costs.json</x:v>
      </x:c>
      <x:c r="R180" s="25" t="str">
        <x:v>https://raw.githubusercontent.com/Btd6ModHelper/btd6-game-data/main/textTable.json</x:v>
      </x:c>
      <x:c r="S180" s="25"/>
      <x:c r="T180" s="25"/>
    </x:row>
    <x:row r="181" ht="64" customHeight="1">
      <x:c r="A181" s="25" t="str">
        <x:v>Heli Pilot</x:v>
      </x:c>
      <x:c r="B181" s="80" t="str">
        <x:v>002</x:v>
      </x:c>
      <x:c r="C181" s="25" t="str">
        <x:v>bottom</x:v>
      </x:c>
      <x:c r="D181" s="25" t="n">
        <x:v>2</x:v>
      </x:c>
      <x:c r="E181" s="25" t="str">
        <x:v>Faster Darts</x:v>
      </x:c>
      <x:c r="F181" s="30" t="n">
        <x:v>350</x:v>
      </x:c>
      <x:c r="G181" s="30" t="n">
        <x:f>IF(F181="","",FLOOR(INT(F181*'Price rules'!$B$5),'Price rules'!$B$9)+IF(MOD(INT(F181*'Price rules'!$B$5),'Price rules'!$B$9)&lt;'Price rules'!$B$10,0,'Price rules'!$B$9))</x:f>
        <x:v>295</x:v>
      </x:c>
      <x:c r="H181" s="30" t="n">
        <x:f>IF(F181="","",FLOOR(INT(F181*'Price rules'!$B$7),'Price rules'!$B$9)+IF(MOD(INT(F181*'Price rules'!$B$7),'Price rules'!$B$9)&lt;'Price rules'!$B$10,0,'Price rules'!$B$9))</x:f>
        <x:v>380</x:v>
      </x:c>
      <x:c r="I181" s="30" t="n">
        <x:f>IF(F181="","",FLOOR(INT(F181*'Price rules'!$B$8),'Price rules'!$B$9)+IF(MOD(INT(F181*'Price rules'!$B$8),'Price rules'!$B$9)&lt;'Price rules'!$B$10,0,'Price rules'!$B$9))</x:f>
        <x:v>420</x:v>
      </x:c>
      <x:c r="J181" s="30" t="n">
        <x:f>IF(N181="conditional","",SUMIFS($F$5:$F$394,$A$5:$A$394,A181,$C$5:$C$394,C181,$D$5:$D$394,"&lt;="&amp;D181)+SUMIF(Towers!$A$5:$A$30,A181,Towers!$E$5:$E$30))</x:f>
        <x:v>2100</x:v>
      </x:c>
      <x:c r="K181" s="30"/>
      <x:c r="L181" s="25" t="str">
        <x:v>basic_dps</x:v>
      </x:c>
      <x:c r="M181" s="25" t="str">
        <x:v>Increases dart travel speed.</x:v>
      </x:c>
      <x:c r="N181" s="25" t="str">
        <x:v>fixed_upgrade_price</x:v>
      </x:c>
      <x:c r="O181" s="30" t="n">
        <x:v>350</x:v>
      </x:c>
      <x:c r="P181" s="25" t="str">
        <x:v>https://raw.githubusercontent.com/Btd6ModHelper/btd6-game-data/main/Towers/HeliPilot/HeliPilot-002.json</x:v>
      </x:c>
      <x:c r="Q181" s="25" t="str">
        <x:v>https://raw.githubusercontent.com/hemisemidemipresent/cyberquincy/master/jsons/costs.json</x:v>
      </x:c>
      <x:c r="R181" s="25" t="str">
        <x:v>https://raw.githubusercontent.com/Btd6ModHelper/btd6-game-data/main/textTable.json</x:v>
      </x:c>
      <x:c r="S181" s="25"/>
      <x:c r="T181" s="25"/>
    </x:row>
    <x:row r="182" ht="64" customHeight="1">
      <x:c r="A182" s="25" t="str">
        <x:v>Heli Pilot</x:v>
      </x:c>
      <x:c r="B182" s="80" t="str">
        <x:v>003</x:v>
      </x:c>
      <x:c r="C182" s="25" t="str">
        <x:v>bottom</x:v>
      </x:c>
      <x:c r="D182" s="25" t="n">
        <x:v>3</x:v>
      </x:c>
      <x:c r="E182" s="25" t="str">
        <x:v>MOAB Shove</x:v>
      </x:c>
      <x:c r="F182" s="30" t="n">
        <x:v>3400</x:v>
      </x:c>
      <x:c r="G182" s="30" t="n">
        <x:f>IF(F182="","",FLOOR(INT(F182*'Price rules'!$B$5),'Price rules'!$B$9)+IF(MOD(INT(F182*'Price rules'!$B$5),'Price rules'!$B$9)&lt;'Price rules'!$B$10,0,'Price rules'!$B$9))</x:f>
        <x:v>2890</x:v>
      </x:c>
      <x:c r="H182" s="30" t="n">
        <x:f>IF(F182="","",FLOOR(INT(F182*'Price rules'!$B$7),'Price rules'!$B$9)+IF(MOD(INT(F182*'Price rules'!$B$7),'Price rules'!$B$9)&lt;'Price rules'!$B$10,0,'Price rules'!$B$9))</x:f>
        <x:v>3670</x:v>
      </x:c>
      <x:c r="I182" s="30" t="n">
        <x:f>IF(F182="","",FLOOR(INT(F182*'Price rules'!$B$8),'Price rules'!$B$9)+IF(MOD(INT(F182*'Price rules'!$B$8),'Price rules'!$B$9)&lt;'Price rules'!$B$10,0,'Price rules'!$B$9))</x:f>
        <x:v>4080</x:v>
      </x:c>
      <x:c r="J182" s="30" t="n">
        <x:f>IF(N182="conditional","",SUMIFS($F$5:$F$394,$A$5:$A$394,A182,$C$5:$C$394,C182,$D$5:$D$394,"&lt;="&amp;D182)+SUMIF(Towers!$A$5:$A$30,A182,Towers!$E$5:$E$30))</x:f>
        <x:v>5500</x:v>
      </x:c>
      <x:c r="K182" s="30"/>
      <x:c r="L182" s="25" t="str">
        <x:v>slow</x:v>
      </x:c>
      <x:c r="M182" s="25" t="str">
        <x:v>Slows or pushes MOAB-class targets through contact.</x:v>
      </x:c>
      <x:c r="N182" s="25" t="str">
        <x:v>fixed_upgrade_price</x:v>
      </x:c>
      <x:c r="O182" s="30" t="n">
        <x:v>3400</x:v>
      </x:c>
      <x:c r="P182" s="25" t="str">
        <x:v>https://raw.githubusercontent.com/Btd6ModHelper/btd6-game-data/main/Towers/HeliPilot/HeliPilot-003.json</x:v>
      </x:c>
      <x:c r="Q182" s="25" t="str">
        <x:v>https://raw.githubusercontent.com/hemisemidemipresent/cyberquincy/master/jsons/costs.json</x:v>
      </x:c>
      <x:c r="R182" s="25" t="str">
        <x:v>https://raw.githubusercontent.com/Btd6ModHelper/btd6-game-data/main/textTable.json</x:v>
      </x:c>
      <x:c r="S182" s="25"/>
      <x:c r="T182" s="25"/>
    </x:row>
    <x:row r="183" ht="64" customHeight="1">
      <x:c r="A183" s="25" t="str">
        <x:v>Heli Pilot</x:v>
      </x:c>
      <x:c r="B183" s="80" t="str">
        <x:v>004</x:v>
      </x:c>
      <x:c r="C183" s="25" t="str">
        <x:v>bottom</x:v>
      </x:c>
      <x:c r="D183" s="25" t="n">
        <x:v>4</x:v>
      </x:c>
      <x:c r="E183" s="25" t="str">
        <x:v>Comanche Defense</x:v>
      </x:c>
      <x:c r="F183" s="30" t="n">
        <x:v>8500</x:v>
      </x:c>
      <x:c r="G183" s="30" t="n">
        <x:f>IF(F183="","",FLOOR(INT(F183*'Price rules'!$B$5),'Price rules'!$B$9)+IF(MOD(INT(F183*'Price rules'!$B$5),'Price rules'!$B$9)&lt;'Price rules'!$B$10,0,'Price rules'!$B$9))</x:f>
        <x:v>7225</x:v>
      </x:c>
      <x:c r="H183" s="30" t="n">
        <x:f>IF(F183="","",FLOOR(INT(F183*'Price rules'!$B$7),'Price rules'!$B$9)+IF(MOD(INT(F183*'Price rules'!$B$7),'Price rules'!$B$9)&lt;'Price rules'!$B$10,0,'Price rules'!$B$9))</x:f>
        <x:v>9180</x:v>
      </x:c>
      <x:c r="I183" s="30" t="n">
        <x:f>IF(F183="","",FLOOR(INT(F183*'Price rules'!$B$8),'Price rules'!$B$9)+IF(MOD(INT(F183*'Price rules'!$B$8),'Price rules'!$B$9)&lt;'Price rules'!$B$10,0,'Price rules'!$B$9))</x:f>
        <x:v>10200</x:v>
      </x:c>
      <x:c r="J183" s="30" t="n">
        <x:f>IF(N183="conditional","",SUMIFS($F$5:$F$394,$A$5:$A$394,A183,$C$5:$C$394,C183,$D$5:$D$394,"&lt;="&amp;D183)+SUMIF(Towers!$A$5:$A$30,A183,Towers!$E$5:$E$30))</x:f>
        <x:v>14000</x:v>
      </x:c>
      <x:c r="K183" s="30"/>
      <x:c r="L183" s="25" t="str">
        <x:v>summoner</x:v>
      </x:c>
      <x:c r="M183" s="25" t="str">
        <x:v>Calls temporary smaller helicopters when pressure increases.</x:v>
      </x:c>
      <x:c r="N183" s="25" t="str">
        <x:v>fixed_upgrade_price</x:v>
      </x:c>
      <x:c r="O183" s="30" t="n">
        <x:v>8500</x:v>
      </x:c>
      <x:c r="P183" s="25" t="str">
        <x:v>https://raw.githubusercontent.com/Btd6ModHelper/btd6-game-data/main/Towers/HeliPilot/HeliPilot-004.json</x:v>
      </x:c>
      <x:c r="Q183" s="25" t="str">
        <x:v>https://raw.githubusercontent.com/hemisemidemipresent/cyberquincy/master/jsons/costs.json</x:v>
      </x:c>
      <x:c r="R183" s="25" t="str">
        <x:v>https://raw.githubusercontent.com/Btd6ModHelper/btd6-game-data/main/textTable.json</x:v>
      </x:c>
      <x:c r="S183" s="25"/>
      <x:c r="T183" s="25"/>
    </x:row>
    <x:row r="184" ht="64" customHeight="1">
      <x:c r="A184" s="25" t="str">
        <x:v>Heli Pilot</x:v>
      </x:c>
      <x:c r="B184" s="80" t="str">
        <x:v>005</x:v>
      </x:c>
      <x:c r="C184" s="25" t="str">
        <x:v>bottom</x:v>
      </x:c>
      <x:c r="D184" s="25" t="n">
        <x:v>5</x:v>
      </x:c>
      <x:c r="E184" s="25" t="str">
        <x:v>Comanche Commander</x:v>
      </x:c>
      <x:c r="F184" s="30" t="n">
        <x:v>35000</x:v>
      </x:c>
      <x:c r="G184" s="30" t="n">
        <x:f>IF(F184="","",FLOOR(INT(F184*'Price rules'!$B$5),'Price rules'!$B$9)+IF(MOD(INT(F184*'Price rules'!$B$5),'Price rules'!$B$9)&lt;'Price rules'!$B$10,0,'Price rules'!$B$9))</x:f>
        <x:v>29750</x:v>
      </x:c>
      <x:c r="H184" s="30" t="n">
        <x:f>IF(F184="","",FLOOR(INT(F184*'Price rules'!$B$7),'Price rules'!$B$9)+IF(MOD(INT(F184*'Price rules'!$B$7),'Price rules'!$B$9)&lt;'Price rules'!$B$10,0,'Price rules'!$B$9))</x:f>
        <x:v>37800</x:v>
      </x:c>
      <x:c r="I184" s="30" t="n">
        <x:f>IF(F184="","",FLOOR(INT(F184*'Price rules'!$B$8),'Price rules'!$B$9)+IF(MOD(INT(F184*'Price rules'!$B$8),'Price rules'!$B$9)&lt;'Price rules'!$B$10,0,'Price rules'!$B$9))</x:f>
        <x:v>42000</x:v>
      </x:c>
      <x:c r="J184" s="30" t="n">
        <x:f>IF(N184="conditional","",SUMIFS($F$5:$F$394,$A$5:$A$394,A184,$C$5:$C$394,C184,$D$5:$D$394,"&lt;="&amp;D184)+SUMIF(Towers!$A$5:$A$30,A184,Towers!$E$5:$E$30))</x:f>
        <x:v>49000</x:v>
      </x:c>
      <x:c r="K184" s="30"/>
      <x:c r="L184" s="25" t="str">
        <x:v>summoner</x:v>
      </x:c>
      <x:c r="M184" s="25" t="str">
        <x:v>Adds three permanent supporting helicopters and stronger weapons.</x:v>
      </x:c>
      <x:c r="N184" s="25" t="str">
        <x:v>fixed_upgrade_price</x:v>
      </x:c>
      <x:c r="O184" s="30" t="n">
        <x:v>35000</x:v>
      </x:c>
      <x:c r="P184" s="25" t="str">
        <x:v>https://raw.githubusercontent.com/Btd6ModHelper/btd6-game-data/main/Towers/HeliPilot/HeliPilot-005.json</x:v>
      </x:c>
      <x:c r="Q184" s="25" t="str">
        <x:v>https://raw.githubusercontent.com/hemisemidemipresent/cyberquincy/master/jsons/costs.json</x:v>
      </x:c>
      <x:c r="R184" s="25" t="str">
        <x:v>https://raw.githubusercontent.com/Btd6ModHelper/btd6-game-data/main/textTable.json</x:v>
      </x:c>
      <x:c r="S184" s="25"/>
      <x:c r="T184" s="25"/>
    </x:row>
    <x:row r="185" ht="64" customHeight="1">
      <x:c r="A185" s="25" t="str">
        <x:v>Mortar Monkey</x:v>
      </x:c>
      <x:c r="B185" s="80" t="str">
        <x:v>100</x:v>
      </x:c>
      <x:c r="C185" s="25" t="str">
        <x:v>top</x:v>
      </x:c>
      <x:c r="D185" s="25" t="n">
        <x:v>1</x:v>
      </x:c>
      <x:c r="E185" s="25" t="str">
        <x:v>Bigger Blast</x:v>
      </x:c>
      <x:c r="F185" s="30" t="n">
        <x:v>300</x:v>
      </x:c>
      <x:c r="G185" s="30" t="n">
        <x:f>IF(F185="","",FLOOR(INT(F185*'Price rules'!$B$5),'Price rules'!$B$9)+IF(MOD(INT(F185*'Price rules'!$B$5),'Price rules'!$B$9)&lt;'Price rules'!$B$10,0,'Price rules'!$B$9))</x:f>
        <x:v>255</x:v>
      </x:c>
      <x:c r="H185" s="30" t="n">
        <x:f>IF(F185="","",FLOOR(INT(F185*'Price rules'!$B$7),'Price rules'!$B$9)+IF(MOD(INT(F185*'Price rules'!$B$7),'Price rules'!$B$9)&lt;'Price rules'!$B$10,0,'Price rules'!$B$9))</x:f>
        <x:v>325</x:v>
      </x:c>
      <x:c r="I185" s="30" t="n">
        <x:f>IF(F185="","",FLOOR(INT(F185*'Price rules'!$B$8),'Price rules'!$B$9)+IF(MOD(INT(F185*'Price rules'!$B$8),'Price rules'!$B$9)&lt;'Price rules'!$B$10,0,'Price rules'!$B$9))</x:f>
        <x:v>360</x:v>
      </x:c>
      <x:c r="J185" s="30" t="n">
        <x:f>IF(N185="conditional","",SUMIFS($F$5:$F$394,$A$5:$A$394,A185,$C$5:$C$394,C185,$D$5:$D$394,"&lt;="&amp;D185)+SUMIF(Towers!$A$5:$A$30,A185,Towers!$E$5:$E$30))</x:f>
        <x:v>900</x:v>
      </x:c>
      <x:c r="K185" s="30"/>
      <x:c r="L185" s="25" t="str">
        <x:v>splash</x:v>
      </x:c>
      <x:c r="M185" s="25" t="str">
        <x:v>Increases explosion radius.</x:v>
      </x:c>
      <x:c r="N185" s="25" t="str">
        <x:v>fixed_upgrade_price</x:v>
      </x:c>
      <x:c r="O185" s="30" t="n">
        <x:v>300</x:v>
      </x:c>
      <x:c r="P185" s="25" t="str">
        <x:v>https://raw.githubusercontent.com/Btd6ModHelper/btd6-game-data/main/Towers/MortarMonkey/MortarMonkey-100.json</x:v>
      </x:c>
      <x:c r="Q185" s="25" t="str">
        <x:v>https://raw.githubusercontent.com/hemisemidemipresent/cyberquincy/master/jsons/costs.json</x:v>
      </x:c>
      <x:c r="R185" s="25" t="str">
        <x:v>https://raw.githubusercontent.com/Btd6ModHelper/btd6-game-data/main/textTable.json</x:v>
      </x:c>
      <x:c r="S185" s="25"/>
      <x:c r="T185" s="25"/>
    </x:row>
    <x:row r="186" ht="64" customHeight="1">
      <x:c r="A186" s="25" t="str">
        <x:v>Mortar Monkey</x:v>
      </x:c>
      <x:c r="B186" s="80" t="str">
        <x:v>200</x:v>
      </x:c>
      <x:c r="C186" s="25" t="str">
        <x:v>top</x:v>
      </x:c>
      <x:c r="D186" s="25" t="n">
        <x:v>2</x:v>
      </x:c>
      <x:c r="E186" s="25" t="str">
        <x:v>Bloon Buster</x:v>
      </x:c>
      <x:c r="F186" s="30" t="n">
        <x:v>500</x:v>
      </x:c>
      <x:c r="G186" s="30" t="n">
        <x:f>IF(F186="","",FLOOR(INT(F186*'Price rules'!$B$5),'Price rules'!$B$9)+IF(MOD(INT(F186*'Price rules'!$B$5),'Price rules'!$B$9)&lt;'Price rules'!$B$10,0,'Price rules'!$B$9))</x:f>
        <x:v>425</x:v>
      </x:c>
      <x:c r="H186" s="30" t="n">
        <x:f>IF(F186="","",FLOOR(INT(F186*'Price rules'!$B$7),'Price rules'!$B$9)+IF(MOD(INT(F186*'Price rules'!$B$7),'Price rules'!$B$9)&lt;'Price rules'!$B$10,0,'Price rules'!$B$9))</x:f>
        <x:v>540</x:v>
      </x:c>
      <x:c r="I186" s="30" t="n">
        <x:f>IF(F186="","",FLOOR(INT(F186*'Price rules'!$B$8),'Price rules'!$B$9)+IF(MOD(INT(F186*'Price rules'!$B$8),'Price rules'!$B$9)&lt;'Price rules'!$B$10,0,'Price rules'!$B$9))</x:f>
        <x:v>600</x:v>
      </x:c>
      <x:c r="J186" s="30" t="n">
        <x:f>IF(N186="conditional","",SUMIFS($F$5:$F$394,$A$5:$A$394,A186,$C$5:$C$394,C186,$D$5:$D$394,"&lt;="&amp;D186)+SUMIF(Towers!$A$5:$A$30,A186,Towers!$E$5:$E$30))</x:f>
        <x:v>1400</x:v>
      </x:c>
      <x:c r="K186" s="30"/>
      <x:c r="L186" s="25" t="str">
        <x:v>splash</x:v>
      </x:c>
      <x:c r="M186" s="25" t="str">
        <x:v>Raises explosion damage to three.</x:v>
      </x:c>
      <x:c r="N186" s="25" t="str">
        <x:v>fixed_upgrade_price</x:v>
      </x:c>
      <x:c r="O186" s="30" t="n">
        <x:v>500</x:v>
      </x:c>
      <x:c r="P186" s="25" t="str">
        <x:v>https://raw.githubusercontent.com/Btd6ModHelper/btd6-game-data/main/Towers/MortarMonkey/MortarMonkey-200.json</x:v>
      </x:c>
      <x:c r="Q186" s="25" t="str">
        <x:v>https://raw.githubusercontent.com/hemisemidemipresent/cyberquincy/master/jsons/costs.json</x:v>
      </x:c>
      <x:c r="R186" s="25" t="str">
        <x:v>https://raw.githubusercontent.com/Btd6ModHelper/btd6-game-data/main/textTable.json</x:v>
      </x:c>
      <x:c r="S186" s="25"/>
      <x:c r="T186" s="25"/>
    </x:row>
    <x:row r="187" ht="64" customHeight="1">
      <x:c r="A187" s="25" t="str">
        <x:v>Mortar Monkey</x:v>
      </x:c>
      <x:c r="B187" s="80" t="str">
        <x:v>300</x:v>
      </x:c>
      <x:c r="C187" s="25" t="str">
        <x:v>top</x:v>
      </x:c>
      <x:c r="D187" s="25" t="n">
        <x:v>3</x:v>
      </x:c>
      <x:c r="E187" s="25" t="str">
        <x:v>Shell Shock</x:v>
      </x:c>
      <x:c r="F187" s="30" t="n">
        <x:v>825</x:v>
      </x:c>
      <x:c r="G187" s="30" t="n">
        <x:f>IF(F187="","",FLOOR(INT(F187*'Price rules'!$B$5),'Price rules'!$B$9)+IF(MOD(INT(F187*'Price rules'!$B$5),'Price rules'!$B$9)&lt;'Price rules'!$B$10,0,'Price rules'!$B$9))</x:f>
        <x:v>700</x:v>
      </x:c>
      <x:c r="H187" s="30" t="n">
        <x:f>IF(F187="","",FLOOR(INT(F187*'Price rules'!$B$7),'Price rules'!$B$9)+IF(MOD(INT(F187*'Price rules'!$B$7),'Price rules'!$B$9)&lt;'Price rules'!$B$10,0,'Price rules'!$B$9))</x:f>
        <x:v>890</x:v>
      </x:c>
      <x:c r="I187" s="30" t="n">
        <x:f>IF(F187="","",FLOOR(INT(F187*'Price rules'!$B$8),'Price rules'!$B$9)+IF(MOD(INT(F187*'Price rules'!$B$8),'Price rules'!$B$9)&lt;'Price rules'!$B$10,0,'Price rules'!$B$9))</x:f>
        <x:v>990</x:v>
      </x:c>
      <x:c r="J187" s="30" t="n">
        <x:f>IF(N187="conditional","",SUMIFS($F$5:$F$394,$A$5:$A$394,A187,$C$5:$C$394,C187,$D$5:$D$394,"&lt;="&amp;D187)+SUMIF(Towers!$A$5:$A$30,A187,Towers!$E$5:$E$30))</x:f>
        <x:v>2225</x:v>
      </x:c>
      <x:c r="K187" s="30"/>
      <x:c r="L187" s="25" t="str">
        <x:v>splash</x:v>
      </x:c>
      <x:c r="M187" s="25" t="str">
        <x:v>Adds an impact stun and a wider shockwave; also improves Burny Stuff.</x:v>
      </x:c>
      <x:c r="N187" s="25" t="str">
        <x:v>fixed_upgrade_price</x:v>
      </x:c>
      <x:c r="O187" s="30" t="n">
        <x:v>825</x:v>
      </x:c>
      <x:c r="P187" s="25" t="str">
        <x:v>https://raw.githubusercontent.com/Btd6ModHelper/btd6-game-data/main/Towers/MortarMonkey/MortarMonkey-300.json</x:v>
      </x:c>
      <x:c r="Q187" s="25" t="str">
        <x:v>https://raw.githubusercontent.com/hemisemidemipresent/cyberquincy/master/jsons/costs.json</x:v>
      </x:c>
      <x:c r="R187" s="25" t="str">
        <x:v>https://raw.githubusercontent.com/Btd6ModHelper/btd6-game-data/main/textTable.json</x:v>
      </x:c>
      <x:c r="S187" s="25"/>
      <x:c r="T187" s="25"/>
    </x:row>
    <x:row r="188" ht="64" customHeight="1">
      <x:c r="A188" s="25" t="str">
        <x:v>Mortar Monkey</x:v>
      </x:c>
      <x:c r="B188" s="80" t="str">
        <x:v>400</x:v>
      </x:c>
      <x:c r="C188" s="25" t="str">
        <x:v>top</x:v>
      </x:c>
      <x:c r="D188" s="25" t="n">
        <x:v>4</x:v>
      </x:c>
      <x:c r="E188" s="25" t="str">
        <x:v>The Big One</x:v>
      </x:c>
      <x:c r="F188" s="30" t="n">
        <x:v>7000</x:v>
      </x:c>
      <x:c r="G188" s="30" t="n">
        <x:f>IF(F188="","",FLOOR(INT(F188*'Price rules'!$B$5),'Price rules'!$B$9)+IF(MOD(INT(F188*'Price rules'!$B$5),'Price rules'!$B$9)&lt;'Price rules'!$B$10,0,'Price rules'!$B$9))</x:f>
        <x:v>5950</x:v>
      </x:c>
      <x:c r="H188" s="30" t="n">
        <x:f>IF(F188="","",FLOOR(INT(F188*'Price rules'!$B$7),'Price rules'!$B$9)+IF(MOD(INT(F188*'Price rules'!$B$7),'Price rules'!$B$9)&lt;'Price rules'!$B$10,0,'Price rules'!$B$9))</x:f>
        <x:v>7560</x:v>
      </x:c>
      <x:c r="I188" s="30" t="n">
        <x:f>IF(F188="","",FLOOR(INT(F188*'Price rules'!$B$8),'Price rules'!$B$9)+IF(MOD(INT(F188*'Price rules'!$B$8),'Price rules'!$B$9)&lt;'Price rules'!$B$10,0,'Price rules'!$B$9))</x:f>
        <x:v>8400</x:v>
      </x:c>
      <x:c r="J188" s="30" t="n">
        <x:f>IF(N188="conditional","",SUMIFS($F$5:$F$394,$A$5:$A$394,A188,$C$5:$C$394,C188,$D$5:$D$394,"&lt;="&amp;D188)+SUMIF(Towers!$A$5:$A$30,A188,Towers!$E$5:$E$30))</x:f>
        <x:v>9225</x:v>
      </x:c>
      <x:c r="K188" s="30"/>
      <x:c r="L188" s="25" t="str">
        <x:v>splash</x:v>
      </x:c>
      <x:c r="M188" s="25" t="str">
        <x:v>Adds much higher explosion damage and improves Burny Stuff.</x:v>
      </x:c>
      <x:c r="N188" s="25" t="str">
        <x:v>fixed_upgrade_price</x:v>
      </x:c>
      <x:c r="O188" s="30" t="n">
        <x:v>7000</x:v>
      </x:c>
      <x:c r="P188" s="25" t="str">
        <x:v>https://raw.githubusercontent.com/Btd6ModHelper/btd6-game-data/main/Towers/MortarMonkey/MortarMonkey-400.json</x:v>
      </x:c>
      <x:c r="Q188" s="25" t="str">
        <x:v>https://raw.githubusercontent.com/hemisemidemipresent/cyberquincy/master/jsons/costs.json</x:v>
      </x:c>
      <x:c r="R188" s="25" t="str">
        <x:v>https://raw.githubusercontent.com/Btd6ModHelper/btd6-game-data/main/textTable.json</x:v>
      </x:c>
      <x:c r="S188" s="25"/>
      <x:c r="T188" s="25"/>
    </x:row>
    <x:row r="189" ht="64" customHeight="1">
      <x:c r="A189" s="25" t="str">
        <x:v>Mortar Monkey</x:v>
      </x:c>
      <x:c r="B189" s="80" t="str">
        <x:v>500</x:v>
      </x:c>
      <x:c r="C189" s="25" t="str">
        <x:v>top</x:v>
      </x:c>
      <x:c r="D189" s="25" t="n">
        <x:v>5</x:v>
      </x:c>
      <x:c r="E189" s="25" t="str">
        <x:v>The Biggest One</x:v>
      </x:c>
      <x:c r="F189" s="30" t="n">
        <x:v>36000</x:v>
      </x:c>
      <x:c r="G189" s="30" t="n">
        <x:f>IF(F189="","",FLOOR(INT(F189*'Price rules'!$B$5),'Price rules'!$B$9)+IF(MOD(INT(F189*'Price rules'!$B$5),'Price rules'!$B$9)&lt;'Price rules'!$B$10,0,'Price rules'!$B$9))</x:f>
        <x:v>30600</x:v>
      </x:c>
      <x:c r="H189" s="30" t="n">
        <x:f>IF(F189="","",FLOOR(INT(F189*'Price rules'!$B$7),'Price rules'!$B$9)+IF(MOD(INT(F189*'Price rules'!$B$7),'Price rules'!$B$9)&lt;'Price rules'!$B$10,0,'Price rules'!$B$9))</x:f>
        <x:v>38880</x:v>
      </x:c>
      <x:c r="I189" s="30" t="n">
        <x:f>IF(F189="","",FLOOR(INT(F189*'Price rules'!$B$8),'Price rules'!$B$9)+IF(MOD(INT(F189*'Price rules'!$B$8),'Price rules'!$B$9)&lt;'Price rules'!$B$10,0,'Price rules'!$B$9))</x:f>
        <x:v>43200</x:v>
      </x:c>
      <x:c r="J189" s="30" t="n">
        <x:f>IF(N189="conditional","",SUMIFS($F$5:$F$394,$A$5:$A$394,A189,$C$5:$C$394,C189,$D$5:$D$394,"&lt;="&amp;D189)+SUMIF(Towers!$A$5:$A$30,A189,Towers!$E$5:$E$30))</x:f>
        <x:v>45225</x:v>
      </x:c>
      <x:c r="K189" s="30"/>
      <x:c r="L189" s="25" t="str">
        <x:v>splash</x:v>
      </x:c>
      <x:c r="M189" s="25" t="str">
        <x:v>Expands explosion damage and area and strengthens burn damage.</x:v>
      </x:c>
      <x:c r="N189" s="25" t="str">
        <x:v>fixed_upgrade_price</x:v>
      </x:c>
      <x:c r="O189" s="30" t="n">
        <x:v>36000</x:v>
      </x:c>
      <x:c r="P189" s="25" t="str">
        <x:v>https://raw.githubusercontent.com/Btd6ModHelper/btd6-game-data/main/Towers/MortarMonkey/MortarMonkey-500.json</x:v>
      </x:c>
      <x:c r="Q189" s="25" t="str">
        <x:v>https://raw.githubusercontent.com/hemisemidemipresent/cyberquincy/master/jsons/costs.json</x:v>
      </x:c>
      <x:c r="R189" s="25" t="str">
        <x:v>https://raw.githubusercontent.com/Btd6ModHelper/btd6-game-data/main/textTable.json</x:v>
      </x:c>
      <x:c r="S189" s="25"/>
      <x:c r="T189" s="25"/>
    </x:row>
    <x:row r="190" ht="64" customHeight="1">
      <x:c r="A190" s="25" t="str">
        <x:v>Mortar Monkey</x:v>
      </x:c>
      <x:c r="B190" s="80" t="str">
        <x:v>010</x:v>
      </x:c>
      <x:c r="C190" s="25" t="str">
        <x:v>middle</x:v>
      </x:c>
      <x:c r="D190" s="25" t="n">
        <x:v>1</x:v>
      </x:c>
      <x:c r="E190" s="25" t="str">
        <x:v>Faster Reload</x:v>
      </x:c>
      <x:c r="F190" s="30" t="n">
        <x:v>400</x:v>
      </x:c>
      <x:c r="G190" s="30" t="n">
        <x:f>IF(F190="","",FLOOR(INT(F190*'Price rules'!$B$5),'Price rules'!$B$9)+IF(MOD(INT(F190*'Price rules'!$B$5),'Price rules'!$B$9)&lt;'Price rules'!$B$10,0,'Price rules'!$B$9))</x:f>
        <x:v>340</x:v>
      </x:c>
      <x:c r="H190" s="30" t="n">
        <x:f>IF(F190="","",FLOOR(INT(F190*'Price rules'!$B$7),'Price rules'!$B$9)+IF(MOD(INT(F190*'Price rules'!$B$7),'Price rules'!$B$9)&lt;'Price rules'!$B$10,0,'Price rules'!$B$9))</x:f>
        <x:v>430</x:v>
      </x:c>
      <x:c r="I190" s="30" t="n">
        <x:f>IF(F190="","",FLOOR(INT(F190*'Price rules'!$B$8),'Price rules'!$B$9)+IF(MOD(INT(F190*'Price rules'!$B$8),'Price rules'!$B$9)&lt;'Price rules'!$B$10,0,'Price rules'!$B$9))</x:f>
        <x:v>480</x:v>
      </x:c>
      <x:c r="J190" s="30" t="n">
        <x:f>IF(N190="conditional","",SUMIFS($F$5:$F$394,$A$5:$A$394,A190,$C$5:$C$394,C190,$D$5:$D$394,"&lt;="&amp;D190)+SUMIF(Towers!$A$5:$A$30,A190,Towers!$E$5:$E$30))</x:f>
        <x:v>1000</x:v>
      </x:c>
      <x:c r="K190" s="30"/>
      <x:c r="L190" s="25" t="str">
        <x:v>splash</x:v>
      </x:c>
      <x:c r="M190" s="25" t="str">
        <x:v>Reduces reload time.</x:v>
      </x:c>
      <x:c r="N190" s="25" t="str">
        <x:v>fixed_upgrade_price</x:v>
      </x:c>
      <x:c r="O190" s="30" t="n">
        <x:v>400</x:v>
      </x:c>
      <x:c r="P190" s="25" t="str">
        <x:v>https://raw.githubusercontent.com/Btd6ModHelper/btd6-game-data/main/Towers/MortarMonkey/MortarMonkey-010.json</x:v>
      </x:c>
      <x:c r="Q190" s="25" t="str">
        <x:v>https://raw.githubusercontent.com/hemisemidemipresent/cyberquincy/master/jsons/costs.json</x:v>
      </x:c>
      <x:c r="R190" s="25" t="str">
        <x:v>https://raw.githubusercontent.com/Btd6ModHelper/btd6-game-data/main/textTable.json</x:v>
      </x:c>
      <x:c r="S190" s="25"/>
      <x:c r="T190" s="25"/>
    </x:row>
    <x:row r="191" ht="64" customHeight="1">
      <x:c r="A191" s="25" t="str">
        <x:v>Mortar Monkey</x:v>
      </x:c>
      <x:c r="B191" s="80" t="str">
        <x:v>020</x:v>
      </x:c>
      <x:c r="C191" s="25" t="str">
        <x:v>middle</x:v>
      </x:c>
      <x:c r="D191" s="25" t="n">
        <x:v>2</x:v>
      </x:c>
      <x:c r="E191" s="25" t="str">
        <x:v>Rapid Reload</x:v>
      </x:c>
      <x:c r="F191" s="30" t="n">
        <x:v>500</x:v>
      </x:c>
      <x:c r="G191" s="30" t="n">
        <x:f>IF(F191="","",FLOOR(INT(F191*'Price rules'!$B$5),'Price rules'!$B$9)+IF(MOD(INT(F191*'Price rules'!$B$5),'Price rules'!$B$9)&lt;'Price rules'!$B$10,0,'Price rules'!$B$9))</x:f>
        <x:v>425</x:v>
      </x:c>
      <x:c r="H191" s="30" t="n">
        <x:f>IF(F191="","",FLOOR(INT(F191*'Price rules'!$B$7),'Price rules'!$B$9)+IF(MOD(INT(F191*'Price rules'!$B$7),'Price rules'!$B$9)&lt;'Price rules'!$B$10,0,'Price rules'!$B$9))</x:f>
        <x:v>540</x:v>
      </x:c>
      <x:c r="I191" s="30" t="n">
        <x:f>IF(F191="","",FLOOR(INT(F191*'Price rules'!$B$8),'Price rules'!$B$9)+IF(MOD(INT(F191*'Price rules'!$B$8),'Price rules'!$B$9)&lt;'Price rules'!$B$10,0,'Price rules'!$B$9))</x:f>
        <x:v>600</x:v>
      </x:c>
      <x:c r="J191" s="30" t="n">
        <x:f>IF(N191="conditional","",SUMIFS($F$5:$F$394,$A$5:$A$394,A191,$C$5:$C$394,C191,$D$5:$D$394,"&lt;="&amp;D191)+SUMIF(Towers!$A$5:$A$30,A191,Towers!$E$5:$E$30))</x:f>
        <x:v>1500</x:v>
      </x:c>
      <x:c r="K191" s="30"/>
      <x:c r="L191" s="25" t="str">
        <x:v>splash</x:v>
      </x:c>
      <x:c r="M191" s="25" t="str">
        <x:v>Further reduces reload time.</x:v>
      </x:c>
      <x:c r="N191" s="25" t="str">
        <x:v>fixed_upgrade_price</x:v>
      </x:c>
      <x:c r="O191" s="30" t="n">
        <x:v>500</x:v>
      </x:c>
      <x:c r="P191" s="25" t="str">
        <x:v>https://raw.githubusercontent.com/Btd6ModHelper/btd6-game-data/main/Towers/MortarMonkey/MortarMonkey-020.json</x:v>
      </x:c>
      <x:c r="Q191" s="25" t="str">
        <x:v>https://raw.githubusercontent.com/hemisemidemipresent/cyberquincy/master/jsons/costs.json</x:v>
      </x:c>
      <x:c r="R191" s="25" t="str">
        <x:v>https://raw.githubusercontent.com/Btd6ModHelper/btd6-game-data/main/textTable.json</x:v>
      </x:c>
      <x:c r="S191" s="25"/>
      <x:c r="T191" s="25"/>
    </x:row>
    <x:row r="192" ht="64" customHeight="1">
      <x:c r="A192" s="25" t="str">
        <x:v>Mortar Monkey</x:v>
      </x:c>
      <x:c r="B192" s="80" t="str">
        <x:v>030</x:v>
      </x:c>
      <x:c r="C192" s="25" t="str">
        <x:v>middle</x:v>
      </x:c>
      <x:c r="D192" s="25" t="n">
        <x:v>3</x:v>
      </x:c>
      <x:c r="E192" s="25" t="str">
        <x:v>Heavy Shells</x:v>
      </x:c>
      <x:c r="F192" s="30" t="n">
        <x:v>900</x:v>
      </x:c>
      <x:c r="G192" s="30" t="n">
        <x:f>IF(F192="","",FLOOR(INT(F192*'Price rules'!$B$5),'Price rules'!$B$9)+IF(MOD(INT(F192*'Price rules'!$B$5),'Price rules'!$B$9)&lt;'Price rules'!$B$10,0,'Price rules'!$B$9))</x:f>
        <x:v>765</x:v>
      </x:c>
      <x:c r="H192" s="30" t="n">
        <x:f>IF(F192="","",FLOOR(INT(F192*'Price rules'!$B$7),'Price rules'!$B$9)+IF(MOD(INT(F192*'Price rules'!$B$7),'Price rules'!$B$9)&lt;'Price rules'!$B$10,0,'Price rules'!$B$9))</x:f>
        <x:v>970</x:v>
      </x:c>
      <x:c r="I192" s="30" t="n">
        <x:f>IF(F192="","",FLOOR(INT(F192*'Price rules'!$B$8),'Price rules'!$B$9)+IF(MOD(INT(F192*'Price rules'!$B$8),'Price rules'!$B$9)&lt;'Price rules'!$B$10,0,'Price rules'!$B$9))</x:f>
        <x:v>1080</x:v>
      </x:c>
      <x:c r="J192" s="30" t="n">
        <x:f>IF(N192="conditional","",SUMIFS($F$5:$F$394,$A$5:$A$394,A192,$C$5:$C$394,C192,$D$5:$D$394,"&lt;="&amp;D192)+SUMIF(Towers!$A$5:$A$30,A192,Towers!$E$5:$E$30))</x:f>
        <x:v>2400</x:v>
      </x:c>
      <x:c r="K192" s="30"/>
      <x:c r="L192" s="25" t="str">
        <x:v>splash</x:v>
      </x:c>
      <x:c r="M192" s="25" t="str">
        <x:v>Adds damage against several tough target types and allows Black Bloon popping.</x:v>
      </x:c>
      <x:c r="N192" s="25" t="str">
        <x:v>fixed_upgrade_price</x:v>
      </x:c>
      <x:c r="O192" s="30" t="n">
        <x:v>900</x:v>
      </x:c>
      <x:c r="P192" s="25" t="str">
        <x:v>https://raw.githubusercontent.com/Btd6ModHelper/btd6-game-data/main/Towers/MortarMonkey/MortarMonkey-030.json</x:v>
      </x:c>
      <x:c r="Q192" s="25" t="str">
        <x:v>https://raw.githubusercontent.com/hemisemidemipresent/cyberquincy/master/jsons/costs.json</x:v>
      </x:c>
      <x:c r="R192" s="25" t="str">
        <x:v>https://raw.githubusercontent.com/Btd6ModHelper/btd6-game-data/main/textTable.json</x:v>
      </x:c>
      <x:c r="S192" s="25"/>
      <x:c r="T192" s="25"/>
    </x:row>
    <x:row r="193" ht="64" customHeight="1">
      <x:c r="A193" s="25" t="str">
        <x:v>Mortar Monkey</x:v>
      </x:c>
      <x:c r="B193" s="80" t="str">
        <x:v>040</x:v>
      </x:c>
      <x:c r="C193" s="25" t="str">
        <x:v>middle</x:v>
      </x:c>
      <x:c r="D193" s="25" t="n">
        <x:v>4</x:v>
      </x:c>
      <x:c r="E193" s="25" t="str">
        <x:v>Artillery Battery</x:v>
      </x:c>
      <x:c r="F193" s="30" t="n">
        <x:v>6500</x:v>
      </x:c>
      <x:c r="G193" s="30" t="n">
        <x:f>IF(F193="","",FLOOR(INT(F193*'Price rules'!$B$5),'Price rules'!$B$9)+IF(MOD(INT(F193*'Price rules'!$B$5),'Price rules'!$B$9)&lt;'Price rules'!$B$10,0,'Price rules'!$B$9))</x:f>
        <x:v>5525</x:v>
      </x:c>
      <x:c r="H193" s="30" t="n">
        <x:f>IF(F193="","",FLOOR(INT(F193*'Price rules'!$B$7),'Price rules'!$B$9)+IF(MOD(INT(F193*'Price rules'!$B$7),'Price rules'!$B$9)&lt;'Price rules'!$B$10,0,'Price rules'!$B$9))</x:f>
        <x:v>7020</x:v>
      </x:c>
      <x:c r="I193" s="30" t="n">
        <x:f>IF(F193="","",FLOOR(INT(F193*'Price rules'!$B$8),'Price rules'!$B$9)+IF(MOD(INT(F193*'Price rules'!$B$8),'Price rules'!$B$9)&lt;'Price rules'!$B$10,0,'Price rules'!$B$9))</x:f>
        <x:v>7800</x:v>
      </x:c>
      <x:c r="J193" s="30" t="n">
        <x:f>IF(N193="conditional","",SUMIFS($F$5:$F$394,$A$5:$A$394,A193,$C$5:$C$394,C193,$D$5:$D$394,"&lt;="&amp;D193)+SUMIF(Towers!$A$5:$A$30,A193,Towers!$E$5:$E$30))</x:f>
        <x:v>8900</x:v>
      </x:c>
      <x:c r="K193" s="30"/>
      <x:c r="L193" s="25" t="str">
        <x:v>rapid_fire</x:v>
      </x:c>
      <x:c r="M193" s="25" t="str">
        <x:v>Adds three-barrel firing and a temporary Bombardment speed ability.</x:v>
      </x:c>
      <x:c r="N193" s="25" t="str">
        <x:v>fixed_upgrade_price</x:v>
      </x:c>
      <x:c r="O193" s="30" t="n">
        <x:v>6500</x:v>
      </x:c>
      <x:c r="P193" s="25" t="str">
        <x:v>https://raw.githubusercontent.com/Btd6ModHelper/btd6-game-data/main/Towers/MortarMonkey/MortarMonkey-040.json</x:v>
      </x:c>
      <x:c r="Q193" s="25" t="str">
        <x:v>https://raw.githubusercontent.com/hemisemidemipresent/cyberquincy/master/jsons/costs.json</x:v>
      </x:c>
      <x:c r="R193" s="25" t="str">
        <x:v>https://raw.githubusercontent.com/Btd6ModHelper/btd6-game-data/main/textTable.json</x:v>
      </x:c>
      <x:c r="S193" s="25"/>
      <x:c r="T193" s="25"/>
    </x:row>
    <x:row r="194" ht="64" customHeight="1">
      <x:c r="A194" s="25" t="str">
        <x:v>Mortar Monkey</x:v>
      </x:c>
      <x:c r="B194" s="80" t="str">
        <x:v>050</x:v>
      </x:c>
      <x:c r="C194" s="25" t="str">
        <x:v>middle</x:v>
      </x:c>
      <x:c r="D194" s="25" t="n">
        <x:v>5</x:v>
      </x:c>
      <x:c r="E194" s="25" t="str">
        <x:v>Pop and Awe</x:v>
      </x:c>
      <x:c r="F194" s="30" t="n">
        <x:v>38000</x:v>
      </x:c>
      <x:c r="G194" s="30" t="n">
        <x:f>IF(F194="","",FLOOR(INT(F194*'Price rules'!$B$5),'Price rules'!$B$9)+IF(MOD(INT(F194*'Price rules'!$B$5),'Price rules'!$B$9)&lt;'Price rules'!$B$10,0,'Price rules'!$B$9))</x:f>
        <x:v>32300</x:v>
      </x:c>
      <x:c r="H194" s="30" t="n">
        <x:f>IF(F194="","",FLOOR(INT(F194*'Price rules'!$B$7),'Price rules'!$B$9)+IF(MOD(INT(F194*'Price rules'!$B$7),'Price rules'!$B$9)&lt;'Price rules'!$B$10,0,'Price rules'!$B$9))</x:f>
        <x:v>41040</x:v>
      </x:c>
      <x:c r="I194" s="30" t="n">
        <x:f>IF(F194="","",FLOOR(INT(F194*'Price rules'!$B$8),'Price rules'!$B$9)+IF(MOD(INT(F194*'Price rules'!$B$8),'Price rules'!$B$9)&lt;'Price rules'!$B$10,0,'Price rules'!$B$9))</x:f>
        <x:v>45600</x:v>
      </x:c>
      <x:c r="J194" s="30" t="n">
        <x:f>IF(N194="conditional","",SUMIFS($F$5:$F$394,$A$5:$A$394,A194,$C$5:$C$394,C194,$D$5:$D$394,"&lt;="&amp;D194)+SUMIF(Towers!$A$5:$A$30,A194,Towers!$E$5:$E$30))</x:f>
        <x:v>46900</x:v>
      </x:c>
      <x:c r="K194" s="30"/>
      <x:c r="L194" s="25" t="str">
        <x:v>status</x:v>
      </x:c>
      <x:c r="M194" s="25" t="str">
        <x:v>Adds sustained rapid fire and a global damaging stun ability.</x:v>
      </x:c>
      <x:c r="N194" s="25" t="str">
        <x:v>fixed_upgrade_price</x:v>
      </x:c>
      <x:c r="O194" s="30" t="n">
        <x:v>38000</x:v>
      </x:c>
      <x:c r="P194" s="25" t="str">
        <x:v>https://raw.githubusercontent.com/Btd6ModHelper/btd6-game-data/main/Towers/MortarMonkey/MortarMonkey-050.json</x:v>
      </x:c>
      <x:c r="Q194" s="25" t="str">
        <x:v>https://raw.githubusercontent.com/hemisemidemipresent/cyberquincy/master/jsons/costs.json</x:v>
      </x:c>
      <x:c r="R194" s="25" t="str">
        <x:v>https://raw.githubusercontent.com/Btd6ModHelper/btd6-game-data/main/textTable.json</x:v>
      </x:c>
      <x:c r="S194" s="25"/>
      <x:c r="T194" s="25"/>
    </x:row>
    <x:row r="195" ht="64" customHeight="1">
      <x:c r="A195" s="25" t="str">
        <x:v>Mortar Monkey</x:v>
      </x:c>
      <x:c r="B195" s="80" t="str">
        <x:v>001</x:v>
      </x:c>
      <x:c r="C195" s="25" t="str">
        <x:v>bottom</x:v>
      </x:c>
      <x:c r="D195" s="25" t="n">
        <x:v>1</x:v>
      </x:c>
      <x:c r="E195" s="25" t="str">
        <x:v>Increased Accuracy</x:v>
      </x:c>
      <x:c r="F195" s="30" t="n">
        <x:v>200</x:v>
      </x:c>
      <x:c r="G195" s="30" t="n">
        <x:f>IF(F195="","",FLOOR(INT(F195*'Price rules'!$B$5),'Price rules'!$B$9)+IF(MOD(INT(F195*'Price rules'!$B$5),'Price rules'!$B$9)&lt;'Price rules'!$B$10,0,'Price rules'!$B$9))</x:f>
        <x:v>170</x:v>
      </x:c>
      <x:c r="H195" s="30" t="n">
        <x:f>IF(F195="","",FLOOR(INT(F195*'Price rules'!$B$7),'Price rules'!$B$9)+IF(MOD(INT(F195*'Price rules'!$B$7),'Price rules'!$B$9)&lt;'Price rules'!$B$10,0,'Price rules'!$B$9))</x:f>
        <x:v>215</x:v>
      </x:c>
      <x:c r="I195" s="30" t="n">
        <x:f>IF(F195="","",FLOOR(INT(F195*'Price rules'!$B$8),'Price rules'!$B$9)+IF(MOD(INT(F195*'Price rules'!$B$8),'Price rules'!$B$9)&lt;'Price rules'!$B$10,0,'Price rules'!$B$9))</x:f>
        <x:v>240</x:v>
      </x:c>
      <x:c r="J195" s="30" t="n">
        <x:f>IF(N195="conditional","",SUMIFS($F$5:$F$394,$A$5:$A$394,A195,$C$5:$C$394,C195,$D$5:$D$394,"&lt;="&amp;D195)+SUMIF(Towers!$A$5:$A$30,A195,Towers!$E$5:$E$30))</x:f>
        <x:v>800</x:v>
      </x:c>
      <x:c r="K195" s="30"/>
      <x:c r="L195" s="25" t="str">
        <x:v>splash</x:v>
      </x:c>
      <x:c r="M195" s="25" t="str">
        <x:v>Reduces shot spread and allows hits on Camo targets.</x:v>
      </x:c>
      <x:c r="N195" s="25" t="str">
        <x:v>fixed_upgrade_price</x:v>
      </x:c>
      <x:c r="O195" s="30" t="n">
        <x:v>200</x:v>
      </x:c>
      <x:c r="P195" s="25" t="str">
        <x:v>https://raw.githubusercontent.com/Btd6ModHelper/btd6-game-data/main/Towers/MortarMonkey/MortarMonkey-001.json</x:v>
      </x:c>
      <x:c r="Q195" s="25" t="str">
        <x:v>https://raw.githubusercontent.com/hemisemidemipresent/cyberquincy/master/jsons/costs.json</x:v>
      </x:c>
      <x:c r="R195" s="25" t="str">
        <x:v>https://raw.githubusercontent.com/Btd6ModHelper/btd6-game-data/main/textTable.json</x:v>
      </x:c>
      <x:c r="S195" s="25"/>
      <x:c r="T195" s="25"/>
    </x:row>
    <x:row r="196" ht="64" customHeight="1">
      <x:c r="A196" s="25" t="str">
        <x:v>Mortar Monkey</x:v>
      </x:c>
      <x:c r="B196" s="80" t="str">
        <x:v>002</x:v>
      </x:c>
      <x:c r="C196" s="25" t="str">
        <x:v>bottom</x:v>
      </x:c>
      <x:c r="D196" s="25" t="n">
        <x:v>2</x:v>
      </x:c>
      <x:c r="E196" s="25" t="str">
        <x:v>Burny Stuff</x:v>
      </x:c>
      <x:c r="F196" s="30" t="n">
        <x:v>400</x:v>
      </x:c>
      <x:c r="G196" s="30" t="n">
        <x:f>IF(F196="","",FLOOR(INT(F196*'Price rules'!$B$5),'Price rules'!$B$9)+IF(MOD(INT(F196*'Price rules'!$B$5),'Price rules'!$B$9)&lt;'Price rules'!$B$10,0,'Price rules'!$B$9))</x:f>
        <x:v>340</x:v>
      </x:c>
      <x:c r="H196" s="30" t="n">
        <x:f>IF(F196="","",FLOOR(INT(F196*'Price rules'!$B$7),'Price rules'!$B$9)+IF(MOD(INT(F196*'Price rules'!$B$7),'Price rules'!$B$9)&lt;'Price rules'!$B$10,0,'Price rules'!$B$9))</x:f>
        <x:v>430</x:v>
      </x:c>
      <x:c r="I196" s="30" t="n">
        <x:f>IF(F196="","",FLOOR(INT(F196*'Price rules'!$B$8),'Price rules'!$B$9)+IF(MOD(INT(F196*'Price rules'!$B$8),'Price rules'!$B$9)&lt;'Price rules'!$B$10,0,'Price rules'!$B$9))</x:f>
        <x:v>480</x:v>
      </x:c>
      <x:c r="J196" s="30" t="n">
        <x:f>IF(N196="conditional","",SUMIFS($F$5:$F$394,$A$5:$A$394,A196,$C$5:$C$394,C196,$D$5:$D$394,"&lt;="&amp;D196)+SUMIF(Towers!$A$5:$A$30,A196,Towers!$E$5:$E$30))</x:f>
        <x:v>1200</x:v>
      </x:c>
      <x:c r="K196" s="30"/>
      <x:c r="L196" s="25" t="str">
        <x:v>splash</x:v>
      </x:c>
      <x:c r="M196" s="25" t="str">
        <x:v>Applies damage over time to hit targets.</x:v>
      </x:c>
      <x:c r="N196" s="25" t="str">
        <x:v>fixed_upgrade_price</x:v>
      </x:c>
      <x:c r="O196" s="30" t="n">
        <x:v>400</x:v>
      </x:c>
      <x:c r="P196" s="25" t="str">
        <x:v>https://raw.githubusercontent.com/Btd6ModHelper/btd6-game-data/main/Towers/MortarMonkey/MortarMonkey-002.json</x:v>
      </x:c>
      <x:c r="Q196" s="25" t="str">
        <x:v>https://raw.githubusercontent.com/hemisemidemipresent/cyberquincy/master/jsons/costs.json</x:v>
      </x:c>
      <x:c r="R196" s="25" t="str">
        <x:v>https://raw.githubusercontent.com/Btd6ModHelper/btd6-game-data/main/textTable.json</x:v>
      </x:c>
      <x:c r="S196" s="25"/>
      <x:c r="T196" s="25"/>
    </x:row>
    <x:row r="197" ht="64" customHeight="1">
      <x:c r="A197" s="25" t="str">
        <x:v>Mortar Monkey</x:v>
      </x:c>
      <x:c r="B197" s="80" t="str">
        <x:v>003</x:v>
      </x:c>
      <x:c r="C197" s="25" t="str">
        <x:v>bottom</x:v>
      </x:c>
      <x:c r="D197" s="25" t="n">
        <x:v>3</x:v>
      </x:c>
      <x:c r="E197" s="25" t="str">
        <x:v>Signal Flare</x:v>
      </x:c>
      <x:c r="F197" s="30" t="n">
        <x:v>1100</x:v>
      </x:c>
      <x:c r="G197" s="30" t="n">
        <x:f>IF(F197="","",FLOOR(INT(F197*'Price rules'!$B$5),'Price rules'!$B$9)+IF(MOD(INT(F197*'Price rules'!$B$5),'Price rules'!$B$9)&lt;'Price rules'!$B$10,0,'Price rules'!$B$9))</x:f>
        <x:v>935</x:v>
      </x:c>
      <x:c r="H197" s="30" t="n">
        <x:f>IF(F197="","",FLOOR(INT(F197*'Price rules'!$B$7),'Price rules'!$B$9)+IF(MOD(INT(F197*'Price rules'!$B$7),'Price rules'!$B$9)&lt;'Price rules'!$B$10,0,'Price rules'!$B$9))</x:f>
        <x:v>1190</x:v>
      </x:c>
      <x:c r="I197" s="30" t="n">
        <x:f>IF(F197="","",FLOOR(INT(F197*'Price rules'!$B$8),'Price rules'!$B$9)+IF(MOD(INT(F197*'Price rules'!$B$8),'Price rules'!$B$9)&lt;'Price rules'!$B$10,0,'Price rules'!$B$9))</x:f>
        <x:v>1320</x:v>
      </x:c>
      <x:c r="J197" s="30" t="n">
        <x:f>IF(N197="conditional","",SUMIFS($F$5:$F$394,$A$5:$A$394,A197,$C$5:$C$394,C197,$D$5:$D$394,"&lt;="&amp;D197)+SUMIF(Towers!$A$5:$A$30,A197,Towers!$E$5:$E$30))</x:f>
        <x:v>2300</x:v>
      </x:c>
      <x:c r="K197" s="30"/>
      <x:c r="L197" s="25" t="str">
        <x:v>support</x:v>
      </x:c>
      <x:c r="M197" s="25" t="str">
        <x:v>Removes Camo from affected targets.</x:v>
      </x:c>
      <x:c r="N197" s="25" t="str">
        <x:v>fixed_upgrade_price</x:v>
      </x:c>
      <x:c r="O197" s="30" t="n">
        <x:v>1100</x:v>
      </x:c>
      <x:c r="P197" s="25" t="str">
        <x:v>https://raw.githubusercontent.com/Btd6ModHelper/btd6-game-data/main/Towers/MortarMonkey/MortarMonkey-003.json</x:v>
      </x:c>
      <x:c r="Q197" s="25" t="str">
        <x:v>https://raw.githubusercontent.com/hemisemidemipresent/cyberquincy/master/jsons/costs.json</x:v>
      </x:c>
      <x:c r="R197" s="25" t="str">
        <x:v>https://raw.githubusercontent.com/Btd6ModHelper/btd6-game-data/main/textTable.json</x:v>
      </x:c>
      <x:c r="S197" s="25"/>
      <x:c r="T197" s="25"/>
    </x:row>
    <x:row r="198" ht="64" customHeight="1">
      <x:c r="A198" s="25" t="str">
        <x:v>Mortar Monkey</x:v>
      </x:c>
      <x:c r="B198" s="80" t="str">
        <x:v>004</x:v>
      </x:c>
      <x:c r="C198" s="25" t="str">
        <x:v>bottom</x:v>
      </x:c>
      <x:c r="D198" s="25" t="n">
        <x:v>4</x:v>
      </x:c>
      <x:c r="E198" s="25" t="str">
        <x:v>Shattering Shells</x:v>
      </x:c>
      <x:c r="F198" s="30" t="n">
        <x:v>9500</x:v>
      </x:c>
      <x:c r="G198" s="30" t="n">
        <x:f>IF(F198="","",FLOOR(INT(F198*'Price rules'!$B$5),'Price rules'!$B$9)+IF(MOD(INT(F198*'Price rules'!$B$5),'Price rules'!$B$9)&lt;'Price rules'!$B$10,0,'Price rules'!$B$9))</x:f>
        <x:v>8075</x:v>
      </x:c>
      <x:c r="H198" s="30" t="n">
        <x:f>IF(F198="","",FLOOR(INT(F198*'Price rules'!$B$7),'Price rules'!$B$9)+IF(MOD(INT(F198*'Price rules'!$B$7),'Price rules'!$B$9)&lt;'Price rules'!$B$10,0,'Price rules'!$B$9))</x:f>
        <x:v>10260</x:v>
      </x:c>
      <x:c r="I198" s="30" t="n">
        <x:f>IF(F198="","",FLOOR(INT(F198*'Price rules'!$B$8),'Price rules'!$B$9)+IF(MOD(INT(F198*'Price rules'!$B$8),'Price rules'!$B$9)&lt;'Price rules'!$B$10,0,'Price rules'!$B$9))</x:f>
        <x:v>11400</x:v>
      </x:c>
      <x:c r="J198" s="30" t="n">
        <x:f>IF(N198="conditional","",SUMIFS($F$5:$F$394,$A$5:$A$394,A198,$C$5:$C$394,C198,$D$5:$D$394,"&lt;="&amp;D198)+SUMIF(Towers!$A$5:$A$30,A198,Towers!$E$5:$E$30))</x:f>
        <x:v>11800</x:v>
      </x:c>
      <x:c r="K198" s="30"/>
      <x:c r="L198" s="25" t="str">
        <x:v>status</x:v>
      </x:c>
      <x:c r="M198" s="25" t="str">
        <x:v>Removes eligible special properties and improves burn damage against MOAB-class targets.</x:v>
      </x:c>
      <x:c r="N198" s="25" t="str">
        <x:v>fixed_upgrade_price</x:v>
      </x:c>
      <x:c r="O198" s="30" t="n">
        <x:v>9500</x:v>
      </x:c>
      <x:c r="P198" s="25" t="str">
        <x:v>https://raw.githubusercontent.com/Btd6ModHelper/btd6-game-data/main/Towers/MortarMonkey/MortarMonkey-004.json</x:v>
      </x:c>
      <x:c r="Q198" s="25" t="str">
        <x:v>https://raw.githubusercontent.com/hemisemidemipresent/cyberquincy/master/jsons/costs.json</x:v>
      </x:c>
      <x:c r="R198" s="25" t="str">
        <x:v>https://raw.githubusercontent.com/Btd6ModHelper/btd6-game-data/main/textTable.json</x:v>
      </x:c>
      <x:c r="S198" s="25"/>
      <x:c r="T198" s="25"/>
    </x:row>
    <x:row r="199" ht="64" customHeight="1">
      <x:c r="A199" s="25" t="str">
        <x:v>Mortar Monkey</x:v>
      </x:c>
      <x:c r="B199" s="80" t="str">
        <x:v>005</x:v>
      </x:c>
      <x:c r="C199" s="25" t="str">
        <x:v>bottom</x:v>
      </x:c>
      <x:c r="D199" s="25" t="n">
        <x:v>5</x:v>
      </x:c>
      <x:c r="E199" s="25" t="str">
        <x:v>Blooncineration</x:v>
      </x:c>
      <x:c r="F199" s="30" t="n">
        <x:v>40000</x:v>
      </x:c>
      <x:c r="G199" s="30" t="n">
        <x:f>IF(F199="","",FLOOR(INT(F199*'Price rules'!$B$5),'Price rules'!$B$9)+IF(MOD(INT(F199*'Price rules'!$B$5),'Price rules'!$B$9)&lt;'Price rules'!$B$10,0,'Price rules'!$B$9))</x:f>
        <x:v>34000</x:v>
      </x:c>
      <x:c r="H199" s="30" t="n">
        <x:f>IF(F199="","",FLOOR(INT(F199*'Price rules'!$B$7),'Price rules'!$B$9)+IF(MOD(INT(F199*'Price rules'!$B$7),'Price rules'!$B$9)&lt;'Price rules'!$B$10,0,'Price rules'!$B$9))</x:f>
        <x:v>43200</x:v>
      </x:c>
      <x:c r="I199" s="30" t="n">
        <x:f>IF(F199="","",FLOOR(INT(F199*'Price rules'!$B$8),'Price rules'!$B$9)+IF(MOD(INT(F199*'Price rules'!$B$8),'Price rules'!$B$9)&lt;'Price rules'!$B$10,0,'Price rules'!$B$9))</x:f>
        <x:v>48000</x:v>
      </x:c>
      <x:c r="J199" s="30" t="n">
        <x:f>IF(N199="conditional","",SUMIFS($F$5:$F$394,$A$5:$A$394,A199,$C$5:$C$394,C199,$D$5:$D$394,"&lt;="&amp;D199)+SUMIF(Towers!$A$5:$A$30,A199,Towers!$E$5:$E$30))</x:f>
        <x:v>51800</x:v>
      </x:c>
      <x:c r="K199" s="30"/>
      <x:c r="L199" s="25" t="str">
        <x:v>status</x:v>
      </x:c>
      <x:c r="M199" s="25" t="str">
        <x:v>Upgrades the anti-MOAB burn attack.</x:v>
      </x:c>
      <x:c r="N199" s="25" t="str">
        <x:v>fixed_upgrade_price</x:v>
      </x:c>
      <x:c r="O199" s="30" t="n">
        <x:v>40000</x:v>
      </x:c>
      <x:c r="P199" s="25" t="str">
        <x:v>https://raw.githubusercontent.com/Btd6ModHelper/btd6-game-data/main/Towers/MortarMonkey/MortarMonkey-005.json</x:v>
      </x:c>
      <x:c r="Q199" s="25" t="str">
        <x:v>https://raw.githubusercontent.com/hemisemidemipresent/cyberquincy/master/jsons/costs.json</x:v>
      </x:c>
      <x:c r="R199" s="25" t="str">
        <x:v>https://raw.githubusercontent.com/Btd6ModHelper/btd6-game-data/main/textTable.json</x:v>
      </x:c>
      <x:c r="S199" s="25"/>
      <x:c r="T199" s="25"/>
    </x:row>
    <x:row r="200" ht="64" customHeight="1">
      <x:c r="A200" s="25" t="str">
        <x:v>Dartling Gunner</x:v>
      </x:c>
      <x:c r="B200" s="80" t="str">
        <x:v>100</x:v>
      </x:c>
      <x:c r="C200" s="25" t="str">
        <x:v>top</x:v>
      </x:c>
      <x:c r="D200" s="25" t="n">
        <x:v>1</x:v>
      </x:c>
      <x:c r="E200" s="25" t="str">
        <x:v>Focused Firing</x:v>
      </x:c>
      <x:c r="F200" s="30" t="n">
        <x:v>300</x:v>
      </x:c>
      <x:c r="G200" s="30" t="n">
        <x:f>IF(F200="","",FLOOR(INT(F200*'Price rules'!$B$5),'Price rules'!$B$9)+IF(MOD(INT(F200*'Price rules'!$B$5),'Price rules'!$B$9)&lt;'Price rules'!$B$10,0,'Price rules'!$B$9))</x:f>
        <x:v>255</x:v>
      </x:c>
      <x:c r="H200" s="30" t="n">
        <x:f>IF(F200="","",FLOOR(INT(F200*'Price rules'!$B$7),'Price rules'!$B$9)+IF(MOD(INT(F200*'Price rules'!$B$7),'Price rules'!$B$9)&lt;'Price rules'!$B$10,0,'Price rules'!$B$9))</x:f>
        <x:v>325</x:v>
      </x:c>
      <x:c r="I200" s="30" t="n">
        <x:f>IF(F200="","",FLOOR(INT(F200*'Price rules'!$B$8),'Price rules'!$B$9)+IF(MOD(INT(F200*'Price rules'!$B$8),'Price rules'!$B$9)&lt;'Price rules'!$B$10,0,'Price rules'!$B$9))</x:f>
        <x:v>360</x:v>
      </x:c>
      <x:c r="J200" s="30" t="n">
        <x:f>IF(N200="conditional","",SUMIFS($F$5:$F$394,$A$5:$A$394,A200,$C$5:$C$394,C200,$D$5:$D$394,"&lt;="&amp;D200)+SUMIF(Towers!$A$5:$A$30,A200,Towers!$E$5:$E$30))</x:f>
        <x:v>1150</x:v>
      </x:c>
      <x:c r="K200" s="30"/>
      <x:c r="L200" s="25" t="str">
        <x:v>rapid_fire</x:v>
      </x:c>
      <x:c r="M200" s="25" t="str">
        <x:v>Reduces firing spread.</x:v>
      </x:c>
      <x:c r="N200" s="25" t="str">
        <x:v>fixed_upgrade_price</x:v>
      </x:c>
      <x:c r="O200" s="30" t="n">
        <x:v>300</x:v>
      </x:c>
      <x:c r="P200" s="25" t="str">
        <x:v>https://raw.githubusercontent.com/Btd6ModHelper/btd6-game-data/main/Towers/DartlingGunner/DartlingGunner-100.json</x:v>
      </x:c>
      <x:c r="Q200" s="25" t="str">
        <x:v>https://raw.githubusercontent.com/hemisemidemipresent/cyberquincy/master/jsons/costs.json</x:v>
      </x:c>
      <x:c r="R200" s="25" t="str">
        <x:v>https://raw.githubusercontent.com/Btd6ModHelper/btd6-game-data/main/textTable.json</x:v>
      </x:c>
      <x:c r="S200" s="25"/>
      <x:c r="T200" s="25"/>
    </x:row>
    <x:row r="201" ht="64" customHeight="1">
      <x:c r="A201" s="25" t="str">
        <x:v>Dartling Gunner</x:v>
      </x:c>
      <x:c r="B201" s="80" t="str">
        <x:v>200</x:v>
      </x:c>
      <x:c r="C201" s="25" t="str">
        <x:v>top</x:v>
      </x:c>
      <x:c r="D201" s="25" t="n">
        <x:v>2</x:v>
      </x:c>
      <x:c r="E201" s="25" t="str">
        <x:v>Laser Shock</x:v>
      </x:c>
      <x:c r="F201" s="30" t="n">
        <x:v>900</x:v>
      </x:c>
      <x:c r="G201" s="30" t="n">
        <x:f>IF(F201="","",FLOOR(INT(F201*'Price rules'!$B$5),'Price rules'!$B$9)+IF(MOD(INT(F201*'Price rules'!$B$5),'Price rules'!$B$9)&lt;'Price rules'!$B$10,0,'Price rules'!$B$9))</x:f>
        <x:v>765</x:v>
      </x:c>
      <x:c r="H201" s="30" t="n">
        <x:f>IF(F201="","",FLOOR(INT(F201*'Price rules'!$B$7),'Price rules'!$B$9)+IF(MOD(INT(F201*'Price rules'!$B$7),'Price rules'!$B$9)&lt;'Price rules'!$B$10,0,'Price rules'!$B$9))</x:f>
        <x:v>970</x:v>
      </x:c>
      <x:c r="I201" s="30" t="n">
        <x:f>IF(F201="","",FLOOR(INT(F201*'Price rules'!$B$8),'Price rules'!$B$9)+IF(MOD(INT(F201*'Price rules'!$B$8),'Price rules'!$B$9)&lt;'Price rules'!$B$10,0,'Price rules'!$B$9))</x:f>
        <x:v>1080</x:v>
      </x:c>
      <x:c r="J201" s="30" t="n">
        <x:f>IF(N201="conditional","",SUMIFS($F$5:$F$394,$A$5:$A$394,A201,$C$5:$C$394,C201,$D$5:$D$394,"&lt;="&amp;D201)+SUMIF(Towers!$A$5:$A$30,A201,Towers!$E$5:$E$30))</x:f>
        <x:v>2050</x:v>
      </x:c>
      <x:c r="K201" s="30"/>
      <x:c r="L201" s="25" t="str">
        <x:v>rapid_fire</x:v>
      </x:c>
      <x:c r="M201" s="25" t="str">
        <x:v>Adds delayed damage after a hit.</x:v>
      </x:c>
      <x:c r="N201" s="25" t="str">
        <x:v>fixed_upgrade_price</x:v>
      </x:c>
      <x:c r="O201" s="30" t="n">
        <x:v>900</x:v>
      </x:c>
      <x:c r="P201" s="25" t="str">
        <x:v>https://raw.githubusercontent.com/Btd6ModHelper/btd6-game-data/main/Towers/DartlingGunner/DartlingGunner-200.json</x:v>
      </x:c>
      <x:c r="Q201" s="25" t="str">
        <x:v>https://raw.githubusercontent.com/hemisemidemipresent/cyberquincy/master/jsons/costs.json</x:v>
      </x:c>
      <x:c r="R201" s="25" t="str">
        <x:v>https://raw.githubusercontent.com/Btd6ModHelper/btd6-game-data/main/textTable.json</x:v>
      </x:c>
      <x:c r="S201" s="25"/>
      <x:c r="T201" s="25"/>
    </x:row>
    <x:row r="202" ht="64" customHeight="1">
      <x:c r="A202" s="25" t="str">
        <x:v>Dartling Gunner</x:v>
      </x:c>
      <x:c r="B202" s="80" t="str">
        <x:v>300</x:v>
      </x:c>
      <x:c r="C202" s="25" t="str">
        <x:v>top</x:v>
      </x:c>
      <x:c r="D202" s="25" t="n">
        <x:v>3</x:v>
      </x:c>
      <x:c r="E202" s="25" t="str">
        <x:v>Laser Cannon</x:v>
      </x:c>
      <x:c r="F202" s="30" t="n">
        <x:v>3000</x:v>
      </x:c>
      <x:c r="G202" s="30" t="n">
        <x:f>IF(F202="","",FLOOR(INT(F202*'Price rules'!$B$5),'Price rules'!$B$9)+IF(MOD(INT(F202*'Price rules'!$B$5),'Price rules'!$B$9)&lt;'Price rules'!$B$10,0,'Price rules'!$B$9))</x:f>
        <x:v>2550</x:v>
      </x:c>
      <x:c r="H202" s="30" t="n">
        <x:f>IF(F202="","",FLOOR(INT(F202*'Price rules'!$B$7),'Price rules'!$B$9)+IF(MOD(INT(F202*'Price rules'!$B$7),'Price rules'!$B$9)&lt;'Price rules'!$B$10,0,'Price rules'!$B$9))</x:f>
        <x:v>3240</x:v>
      </x:c>
      <x:c r="I202" s="30" t="n">
        <x:f>IF(F202="","",FLOOR(INT(F202*'Price rules'!$B$8),'Price rules'!$B$9)+IF(MOD(INT(F202*'Price rules'!$B$8),'Price rules'!$B$9)&lt;'Price rules'!$B$10,0,'Price rules'!$B$9))</x:f>
        <x:v>3600</x:v>
      </x:c>
      <x:c r="J202" s="30" t="n">
        <x:f>IF(N202="conditional","",SUMIFS($F$5:$F$394,$A$5:$A$394,A202,$C$5:$C$394,C202,$D$5:$D$394,"&lt;="&amp;D202)+SUMIF(Towers!$A$5:$A$30,A202,Towers!$E$5:$E$30))</x:f>
        <x:v>5050</x:v>
      </x:c>
      <x:c r="K202" s="30"/>
      <x:c r="L202" s="25" t="str">
        <x:v>rapid_fire</x:v>
      </x:c>
      <x:c r="M202" s="25" t="str">
        <x:v>Uses stronger laser projectiles with Frozen popping and bonus MOAB damage.</x:v>
      </x:c>
      <x:c r="N202" s="25" t="str">
        <x:v>fixed_upgrade_price</x:v>
      </x:c>
      <x:c r="O202" s="30" t="n">
        <x:v>3000</x:v>
      </x:c>
      <x:c r="P202" s="25" t="str">
        <x:v>https://raw.githubusercontent.com/Btd6ModHelper/btd6-game-data/main/Towers/DartlingGunner/DartlingGunner-300.json</x:v>
      </x:c>
      <x:c r="Q202" s="25" t="str">
        <x:v>https://raw.githubusercontent.com/hemisemidemipresent/cyberquincy/master/jsons/costs.json</x:v>
      </x:c>
      <x:c r="R202" s="25" t="str">
        <x:v>https://raw.githubusercontent.com/Btd6ModHelper/btd6-game-data/main/textTable.json</x:v>
      </x:c>
      <x:c r="S202" s="25"/>
      <x:c r="T202" s="25"/>
    </x:row>
    <x:row r="203" ht="64" customHeight="1">
      <x:c r="A203" s="25" t="str">
        <x:v>Dartling Gunner</x:v>
      </x:c>
      <x:c r="B203" s="80" t="str">
        <x:v>400</x:v>
      </x:c>
      <x:c r="C203" s="25" t="str">
        <x:v>top</x:v>
      </x:c>
      <x:c r="D203" s="25" t="n">
        <x:v>4</x:v>
      </x:c>
      <x:c r="E203" s="25" t="str">
        <x:v>Plasma Accelerator</x:v>
      </x:c>
      <x:c r="F203" s="30" t="n">
        <x:v>11750</x:v>
      </x:c>
      <x:c r="G203" s="30" t="n">
        <x:f>IF(F203="","",FLOOR(INT(F203*'Price rules'!$B$5),'Price rules'!$B$9)+IF(MOD(INT(F203*'Price rules'!$B$5),'Price rules'!$B$9)&lt;'Price rules'!$B$10,0,'Price rules'!$B$9))</x:f>
        <x:v>9985</x:v>
      </x:c>
      <x:c r="H203" s="30" t="n">
        <x:f>IF(F203="","",FLOOR(INT(F203*'Price rules'!$B$7),'Price rules'!$B$9)+IF(MOD(INT(F203*'Price rules'!$B$7),'Price rules'!$B$9)&lt;'Price rules'!$B$10,0,'Price rules'!$B$9))</x:f>
        <x:v>12690</x:v>
      </x:c>
      <x:c r="I203" s="30" t="n">
        <x:f>IF(F203="","",FLOOR(INT(F203*'Price rules'!$B$8),'Price rules'!$B$9)+IF(MOD(INT(F203*'Price rules'!$B$8),'Price rules'!$B$9)&lt;'Price rules'!$B$10,0,'Price rules'!$B$9))</x:f>
        <x:v>14100</x:v>
      </x:c>
      <x:c r="J203" s="30" t="n">
        <x:f>IF(N203="conditional","",SUMIFS($F$5:$F$394,$A$5:$A$394,A203,$C$5:$C$394,C203,$D$5:$D$394,"&lt;="&amp;D203)+SUMIF(Towers!$A$5:$A$30,A203,Towers!$E$5:$E$30))</x:f>
        <x:v>16800</x:v>
      </x:c>
      <x:c r="K203" s="30"/>
      <x:c r="L203" s="25" t="str">
        <x:v>rapid_fire</x:v>
      </x:c>
      <x:c r="M203" s="25" t="str">
        <x:v>Focuses a damaging beam at the selected point.</x:v>
      </x:c>
      <x:c r="N203" s="25" t="str">
        <x:v>fixed_upgrade_price</x:v>
      </x:c>
      <x:c r="O203" s="30" t="n">
        <x:v>11750</x:v>
      </x:c>
      <x:c r="P203" s="25" t="str">
        <x:v>https://raw.githubusercontent.com/Btd6ModHelper/btd6-game-data/main/Towers/DartlingGunner/DartlingGunner-400.json</x:v>
      </x:c>
      <x:c r="Q203" s="25" t="str">
        <x:v>https://raw.githubusercontent.com/hemisemidemipresent/cyberquincy/master/jsons/costs.json</x:v>
      </x:c>
      <x:c r="R203" s="25" t="str">
        <x:v>https://raw.githubusercontent.com/Btd6ModHelper/btd6-game-data/main/textTable.json</x:v>
      </x:c>
      <x:c r="S203" s="25"/>
      <x:c r="T203" s="25"/>
    </x:row>
    <x:row r="204" ht="64" customHeight="1">
      <x:c r="A204" s="25" t="str">
        <x:v>Dartling Gunner</x:v>
      </x:c>
      <x:c r="B204" s="80" t="str">
        <x:v>500</x:v>
      </x:c>
      <x:c r="C204" s="25" t="str">
        <x:v>top</x:v>
      </x:c>
      <x:c r="D204" s="25" t="n">
        <x:v>5</x:v>
      </x:c>
      <x:c r="E204" s="25" t="str">
        <x:v>Ray of Doom</x:v>
      </x:c>
      <x:c r="F204" s="30" t="n">
        <x:v>75000</x:v>
      </x:c>
      <x:c r="G204" s="30" t="n">
        <x:f>IF(F204="","",FLOOR(INT(F204*'Price rules'!$B$5),'Price rules'!$B$9)+IF(MOD(INT(F204*'Price rules'!$B$5),'Price rules'!$B$9)&lt;'Price rules'!$B$10,0,'Price rules'!$B$9))</x:f>
        <x:v>63750</x:v>
      </x:c>
      <x:c r="H204" s="30" t="n">
        <x:f>IF(F204="","",FLOOR(INT(F204*'Price rules'!$B$7),'Price rules'!$B$9)+IF(MOD(INT(F204*'Price rules'!$B$7),'Price rules'!$B$9)&lt;'Price rules'!$B$10,0,'Price rules'!$B$9))</x:f>
        <x:v>81000</x:v>
      </x:c>
      <x:c r="I204" s="30" t="n">
        <x:f>IF(F204="","",FLOOR(INT(F204*'Price rules'!$B$8),'Price rules'!$B$9)+IF(MOD(INT(F204*'Price rules'!$B$8),'Price rules'!$B$9)&lt;'Price rules'!$B$10,0,'Price rules'!$B$9))</x:f>
        <x:v>90000</x:v>
      </x:c>
      <x:c r="J204" s="30" t="n">
        <x:f>IF(N204="conditional","",SUMIFS($F$5:$F$394,$A$5:$A$394,A204,$C$5:$C$394,C204,$D$5:$D$394,"&lt;="&amp;D204)+SUMIF(Towers!$A$5:$A$30,A204,Towers!$E$5:$E$30))</x:f>
        <x:v>91800</x:v>
      </x:c>
      <x:c r="K204" s="30"/>
      <x:c r="L204" s="25" t="str">
        <x:v>rapid_fire</x:v>
      </x:c>
      <x:c r="M204" s="25" t="str">
        <x:v>Creates a continuous damaging beam across the firing line.</x:v>
      </x:c>
      <x:c r="N204" s="25" t="str">
        <x:v>fixed_upgrade_price</x:v>
      </x:c>
      <x:c r="O204" s="30" t="n">
        <x:v>75000</x:v>
      </x:c>
      <x:c r="P204" s="25" t="str">
        <x:v>https://raw.githubusercontent.com/Btd6ModHelper/btd6-game-data/main/Towers/DartlingGunner/DartlingGunner-500.json</x:v>
      </x:c>
      <x:c r="Q204" s="25" t="str">
        <x:v>https://raw.githubusercontent.com/hemisemidemipresent/cyberquincy/master/jsons/costs.json</x:v>
      </x:c>
      <x:c r="R204" s="25" t="str">
        <x:v>https://raw.githubusercontent.com/Btd6ModHelper/btd6-game-data/main/textTable.json</x:v>
      </x:c>
      <x:c r="S204" s="25"/>
      <x:c r="T204" s="25"/>
    </x:row>
    <x:row r="205" ht="64" customHeight="1">
      <x:c r="A205" s="25" t="str">
        <x:v>Dartling Gunner</x:v>
      </x:c>
      <x:c r="B205" s="80" t="str">
        <x:v>010</x:v>
      </x:c>
      <x:c r="C205" s="25" t="str">
        <x:v>middle</x:v>
      </x:c>
      <x:c r="D205" s="25" t="n">
        <x:v>1</x:v>
      </x:c>
      <x:c r="E205" s="25" t="str">
        <x:v>Advanced Targeting</x:v>
      </x:c>
      <x:c r="F205" s="30" t="n">
        <x:v>250</x:v>
      </x:c>
      <x:c r="G205" s="30" t="n">
        <x:f>IF(F205="","",FLOOR(INT(F205*'Price rules'!$B$5),'Price rules'!$B$9)+IF(MOD(INT(F205*'Price rules'!$B$5),'Price rules'!$B$9)&lt;'Price rules'!$B$10,0,'Price rules'!$B$9))</x:f>
        <x:v>210</x:v>
      </x:c>
      <x:c r="H205" s="30" t="n">
        <x:f>IF(F205="","",FLOOR(INT(F205*'Price rules'!$B$7),'Price rules'!$B$9)+IF(MOD(INT(F205*'Price rules'!$B$7),'Price rules'!$B$9)&lt;'Price rules'!$B$10,0,'Price rules'!$B$9))</x:f>
        <x:v>270</x:v>
      </x:c>
      <x:c r="I205" s="30" t="n">
        <x:f>IF(F205="","",FLOOR(INT(F205*'Price rules'!$B$8),'Price rules'!$B$9)+IF(MOD(INT(F205*'Price rules'!$B$8),'Price rules'!$B$9)&lt;'Price rules'!$B$10,0,'Price rules'!$B$9))</x:f>
        <x:v>300</x:v>
      </x:c>
      <x:c r="J205" s="30" t="n">
        <x:f>IF(N205="conditional","",SUMIFS($F$5:$F$394,$A$5:$A$394,A205,$C$5:$C$394,C205,$D$5:$D$394,"&lt;="&amp;D205)+SUMIF(Towers!$A$5:$A$30,A205,Towers!$E$5:$E$30))</x:f>
        <x:v>1100</x:v>
      </x:c>
      <x:c r="K205" s="30"/>
      <x:c r="L205" s="25" t="str">
        <x:v>rapid_fire</x:v>
      </x:c>
      <x:c r="M205" s="25" t="str">
        <x:v>Adds Camo detection.</x:v>
      </x:c>
      <x:c r="N205" s="25" t="str">
        <x:v>fixed_upgrade_price</x:v>
      </x:c>
      <x:c r="O205" s="30" t="n">
        <x:v>250</x:v>
      </x:c>
      <x:c r="P205" s="25" t="str">
        <x:v>https://raw.githubusercontent.com/Btd6ModHelper/btd6-game-data/main/Towers/DartlingGunner/DartlingGunner-010.json</x:v>
      </x:c>
      <x:c r="Q205" s="25" t="str">
        <x:v>https://raw.githubusercontent.com/hemisemidemipresent/cyberquincy/master/jsons/costs.json</x:v>
      </x:c>
      <x:c r="R205" s="25" t="str">
        <x:v>https://raw.githubusercontent.com/Btd6ModHelper/btd6-game-data/main/textTable.json</x:v>
      </x:c>
      <x:c r="S205" s="25"/>
      <x:c r="T205" s="25"/>
    </x:row>
    <x:row r="206" ht="64" customHeight="1">
      <x:c r="A206" s="25" t="str">
        <x:v>Dartling Gunner</x:v>
      </x:c>
      <x:c r="B206" s="80" t="str">
        <x:v>020</x:v>
      </x:c>
      <x:c r="C206" s="25" t="str">
        <x:v>middle</x:v>
      </x:c>
      <x:c r="D206" s="25" t="n">
        <x:v>2</x:v>
      </x:c>
      <x:c r="E206" s="25" t="str">
        <x:v>Faster Barrel Spin</x:v>
      </x:c>
      <x:c r="F206" s="30" t="n">
        <x:v>950</x:v>
      </x:c>
      <x:c r="G206" s="30" t="n">
        <x:f>IF(F206="","",FLOOR(INT(F206*'Price rules'!$B$5),'Price rules'!$B$9)+IF(MOD(INT(F206*'Price rules'!$B$5),'Price rules'!$B$9)&lt;'Price rules'!$B$10,0,'Price rules'!$B$9))</x:f>
        <x:v>805</x:v>
      </x:c>
      <x:c r="H206" s="30" t="n">
        <x:f>IF(F206="","",FLOOR(INT(F206*'Price rules'!$B$7),'Price rules'!$B$9)+IF(MOD(INT(F206*'Price rules'!$B$7),'Price rules'!$B$9)&lt;'Price rules'!$B$10,0,'Price rules'!$B$9))</x:f>
        <x:v>1025</x:v>
      </x:c>
      <x:c r="I206" s="30" t="n">
        <x:f>IF(F206="","",FLOOR(INT(F206*'Price rules'!$B$8),'Price rules'!$B$9)+IF(MOD(INT(F206*'Price rules'!$B$8),'Price rules'!$B$9)&lt;'Price rules'!$B$10,0,'Price rules'!$B$9))</x:f>
        <x:v>1140</x:v>
      </x:c>
      <x:c r="J206" s="30" t="n">
        <x:f>IF(N206="conditional","",SUMIFS($F$5:$F$394,$A$5:$A$394,A206,$C$5:$C$394,C206,$D$5:$D$394,"&lt;="&amp;D206)+SUMIF(Towers!$A$5:$A$30,A206,Towers!$E$5:$E$30))</x:f>
        <x:v>2050</x:v>
      </x:c>
      <x:c r="K206" s="30"/>
      <x:c r="L206" s="25" t="str">
        <x:v>rapid_fire</x:v>
      </x:c>
      <x:c r="M206" s="25" t="str">
        <x:v>Increases firing speed.</x:v>
      </x:c>
      <x:c r="N206" s="25" t="str">
        <x:v>fixed_upgrade_price</x:v>
      </x:c>
      <x:c r="O206" s="30" t="n">
        <x:v>950</x:v>
      </x:c>
      <x:c r="P206" s="25" t="str">
        <x:v>https://raw.githubusercontent.com/Btd6ModHelper/btd6-game-data/main/Towers/DartlingGunner/DartlingGunner-020.json</x:v>
      </x:c>
      <x:c r="Q206" s="25" t="str">
        <x:v>https://raw.githubusercontent.com/hemisemidemipresent/cyberquincy/master/jsons/costs.json</x:v>
      </x:c>
      <x:c r="R206" s="25" t="str">
        <x:v>https://raw.githubusercontent.com/Btd6ModHelper/btd6-game-data/main/textTable.json</x:v>
      </x:c>
      <x:c r="S206" s="25"/>
      <x:c r="T206" s="25"/>
    </x:row>
    <x:row r="207" ht="64" customHeight="1">
      <x:c r="A207" s="25" t="str">
        <x:v>Dartling Gunner</x:v>
      </x:c>
      <x:c r="B207" s="80" t="str">
        <x:v>030</x:v>
      </x:c>
      <x:c r="C207" s="25" t="str">
        <x:v>middle</x:v>
      </x:c>
      <x:c r="D207" s="25" t="n">
        <x:v>3</x:v>
      </x:c>
      <x:c r="E207" s="25" t="str">
        <x:v>Hydra Rocket Pods</x:v>
      </x:c>
      <x:c r="F207" s="30" t="n">
        <x:v>4500</x:v>
      </x:c>
      <x:c r="G207" s="30" t="n">
        <x:f>IF(F207="","",FLOOR(INT(F207*'Price rules'!$B$5),'Price rules'!$B$9)+IF(MOD(INT(F207*'Price rules'!$B$5),'Price rules'!$B$9)&lt;'Price rules'!$B$10,0,'Price rules'!$B$9))</x:f>
        <x:v>3825</x:v>
      </x:c>
      <x:c r="H207" s="30" t="n">
        <x:f>IF(F207="","",FLOOR(INT(F207*'Price rules'!$B$7),'Price rules'!$B$9)+IF(MOD(INT(F207*'Price rules'!$B$7),'Price rules'!$B$9)&lt;'Price rules'!$B$10,0,'Price rules'!$B$9))</x:f>
        <x:v>4860</x:v>
      </x:c>
      <x:c r="I207" s="30" t="n">
        <x:f>IF(F207="","",FLOOR(INT(F207*'Price rules'!$B$8),'Price rules'!$B$9)+IF(MOD(INT(F207*'Price rules'!$B$8),'Price rules'!$B$9)&lt;'Price rules'!$B$10,0,'Price rules'!$B$9))</x:f>
        <x:v>5400</x:v>
      </x:c>
      <x:c r="J207" s="30" t="n">
        <x:f>IF(N207="conditional","",SUMIFS($F$5:$F$394,$A$5:$A$394,A207,$C$5:$C$394,C207,$D$5:$D$394,"&lt;="&amp;D207)+SUMIF(Towers!$A$5:$A$30,A207,Towers!$E$5:$E$30))</x:f>
        <x:v>6550</x:v>
      </x:c>
      <x:c r="K207" s="30"/>
      <x:c r="L207" s="25" t="str">
        <x:v>splash</x:v>
      </x:c>
      <x:c r="M207" s="25" t="str">
        <x:v>Uses rockets with repeated explosions and broad damage-type coverage.</x:v>
      </x:c>
      <x:c r="N207" s="25" t="str">
        <x:v>fixed_upgrade_price</x:v>
      </x:c>
      <x:c r="O207" s="30" t="n">
        <x:v>4500</x:v>
      </x:c>
      <x:c r="P207" s="25" t="str">
        <x:v>https://raw.githubusercontent.com/Btd6ModHelper/btd6-game-data/main/Towers/DartlingGunner/DartlingGunner-030.json</x:v>
      </x:c>
      <x:c r="Q207" s="25" t="str">
        <x:v>https://raw.githubusercontent.com/hemisemidemipresent/cyberquincy/master/jsons/costs.json</x:v>
      </x:c>
      <x:c r="R207" s="25" t="str">
        <x:v>https://raw.githubusercontent.com/Btd6ModHelper/btd6-game-data/main/textTable.json</x:v>
      </x:c>
      <x:c r="S207" s="25"/>
      <x:c r="T207" s="25"/>
    </x:row>
    <x:row r="208" ht="64" customHeight="1">
      <x:c r="A208" s="25" t="str">
        <x:v>Dartling Gunner</x:v>
      </x:c>
      <x:c r="B208" s="80" t="str">
        <x:v>040</x:v>
      </x:c>
      <x:c r="C208" s="25" t="str">
        <x:v>middle</x:v>
      </x:c>
      <x:c r="D208" s="25" t="n">
        <x:v>4</x:v>
      </x:c>
      <x:c r="E208" s="25" t="str">
        <x:v>Rocket Storm</x:v>
      </x:c>
      <x:c r="F208" s="30" t="n">
        <x:v>5000</x:v>
      </x:c>
      <x:c r="G208" s="30" t="n">
        <x:f>IF(F208="","",FLOOR(INT(F208*'Price rules'!$B$5),'Price rules'!$B$9)+IF(MOD(INT(F208*'Price rules'!$B$5),'Price rules'!$B$9)&lt;'Price rules'!$B$10,0,'Price rules'!$B$9))</x:f>
        <x:v>4250</x:v>
      </x:c>
      <x:c r="H208" s="30" t="n">
        <x:f>IF(F208="","",FLOOR(INT(F208*'Price rules'!$B$7),'Price rules'!$B$9)+IF(MOD(INT(F208*'Price rules'!$B$7),'Price rules'!$B$9)&lt;'Price rules'!$B$10,0,'Price rules'!$B$9))</x:f>
        <x:v>5400</x:v>
      </x:c>
      <x:c r="I208" s="30" t="n">
        <x:f>IF(F208="","",FLOOR(INT(F208*'Price rules'!$B$8),'Price rules'!$B$9)+IF(MOD(INT(F208*'Price rules'!$B$8),'Price rules'!$B$9)&lt;'Price rules'!$B$10,0,'Price rules'!$B$9))</x:f>
        <x:v>6000</x:v>
      </x:c>
      <x:c r="J208" s="30" t="n">
        <x:f>IF(N208="conditional","",SUMIFS($F$5:$F$394,$A$5:$A$394,A208,$C$5:$C$394,C208,$D$5:$D$394,"&lt;="&amp;D208)+SUMIF(Towers!$A$5:$A$30,A208,Towers!$E$5:$E$30))</x:f>
        <x:v>11550</x:v>
      </x:c>
      <x:c r="K208" s="30"/>
      <x:c r="L208" s="25" t="str">
        <x:v>splash</x:v>
      </x:c>
      <x:c r="M208" s="25" t="str">
        <x:v>Adds an activated rocket barrage.</x:v>
      </x:c>
      <x:c r="N208" s="25" t="str">
        <x:v>fixed_upgrade_price</x:v>
      </x:c>
      <x:c r="O208" s="30" t="n">
        <x:v>5000</x:v>
      </x:c>
      <x:c r="P208" s="25" t="str">
        <x:v>https://raw.githubusercontent.com/Btd6ModHelper/btd6-game-data/main/Towers/DartlingGunner/DartlingGunner-040.json</x:v>
      </x:c>
      <x:c r="Q208" s="25" t="str">
        <x:v>https://raw.githubusercontent.com/hemisemidemipresent/cyberquincy/master/jsons/costs.json</x:v>
      </x:c>
      <x:c r="R208" s="25" t="str">
        <x:v>https://raw.githubusercontent.com/Btd6ModHelper/btd6-game-data/main/textTable.json</x:v>
      </x:c>
      <x:c r="S208" s="25"/>
      <x:c r="T208" s="25"/>
    </x:row>
    <x:row r="209" ht="64" customHeight="1">
      <x:c r="A209" s="25" t="str">
        <x:v>Dartling Gunner</x:v>
      </x:c>
      <x:c r="B209" s="80" t="str">
        <x:v>050</x:v>
      </x:c>
      <x:c r="C209" s="25" t="str">
        <x:v>middle</x:v>
      </x:c>
      <x:c r="D209" s="25" t="n">
        <x:v>5</x:v>
      </x:c>
      <x:c r="E209" s="25" t="str">
        <x:v>M.A.D</x:v>
      </x:c>
      <x:c r="F209" s="30" t="n">
        <x:v>65000</x:v>
      </x:c>
      <x:c r="G209" s="30" t="n">
        <x:f>IF(F209="","",FLOOR(INT(F209*'Price rules'!$B$5),'Price rules'!$B$9)+IF(MOD(INT(F209*'Price rules'!$B$5),'Price rules'!$B$9)&lt;'Price rules'!$B$10,0,'Price rules'!$B$9))</x:f>
        <x:v>55250</x:v>
      </x:c>
      <x:c r="H209" s="30" t="n">
        <x:f>IF(F209="","",FLOOR(INT(F209*'Price rules'!$B$7),'Price rules'!$B$9)+IF(MOD(INT(F209*'Price rules'!$B$7),'Price rules'!$B$9)&lt;'Price rules'!$B$10,0,'Price rules'!$B$9))</x:f>
        <x:v>70200</x:v>
      </x:c>
      <x:c r="I209" s="30" t="n">
        <x:f>IF(F209="","",FLOOR(INT(F209*'Price rules'!$B$8),'Price rules'!$B$9)+IF(MOD(INT(F209*'Price rules'!$B$8),'Price rules'!$B$9)&lt;'Price rules'!$B$10,0,'Price rules'!$B$9))</x:f>
        <x:v>78000</x:v>
      </x:c>
      <x:c r="J209" s="30" t="n">
        <x:f>IF(N209="conditional","",SUMIFS($F$5:$F$394,$A$5:$A$394,A209,$C$5:$C$394,C209,$D$5:$D$394,"&lt;="&amp;D209)+SUMIF(Towers!$A$5:$A$30,A209,Towers!$E$5:$E$30))</x:f>
        <x:v>76550</x:v>
      </x:c>
      <x:c r="K209" s="30"/>
      <x:c r="L209" s="25" t="str">
        <x:v>tank_killer</x:v>
      </x:c>
      <x:c r="M209" s="25" t="str">
        <x:v>Uses slower missiles with very high MOAB-class damage.</x:v>
      </x:c>
      <x:c r="N209" s="25" t="str">
        <x:v>fixed_upgrade_price</x:v>
      </x:c>
      <x:c r="O209" s="30" t="n">
        <x:v>65000</x:v>
      </x:c>
      <x:c r="P209" s="25" t="str">
        <x:v>https://raw.githubusercontent.com/Btd6ModHelper/btd6-game-data/main/Towers/DartlingGunner/DartlingGunner-050.json</x:v>
      </x:c>
      <x:c r="Q209" s="25" t="str">
        <x:v>https://raw.githubusercontent.com/hemisemidemipresent/cyberquincy/master/jsons/costs.json</x:v>
      </x:c>
      <x:c r="R209" s="25" t="str">
        <x:v>https://raw.githubusercontent.com/Btd6ModHelper/btd6-game-data/main/textTable.json</x:v>
      </x:c>
      <x:c r="S209" s="25"/>
      <x:c r="T209" s="25"/>
    </x:row>
    <x:row r="210" ht="64" customHeight="1">
      <x:c r="A210" s="25" t="str">
        <x:v>Dartling Gunner</x:v>
      </x:c>
      <x:c r="B210" s="80" t="str">
        <x:v>001</x:v>
      </x:c>
      <x:c r="C210" s="25" t="str">
        <x:v>bottom</x:v>
      </x:c>
      <x:c r="D210" s="25" t="n">
        <x:v>1</x:v>
      </x:c>
      <x:c r="E210" s="25" t="str">
        <x:v>Faster Swivel</x:v>
      </x:c>
      <x:c r="F210" s="30" t="n">
        <x:v>150</x:v>
      </x:c>
      <x:c r="G210" s="30" t="n">
        <x:f>IF(F210="","",FLOOR(INT(F210*'Price rules'!$B$5),'Price rules'!$B$9)+IF(MOD(INT(F210*'Price rules'!$B$5),'Price rules'!$B$9)&lt;'Price rules'!$B$10,0,'Price rules'!$B$9))</x:f>
        <x:v>125</x:v>
      </x:c>
      <x:c r="H210" s="30" t="n">
        <x:f>IF(F210="","",FLOOR(INT(F210*'Price rules'!$B$7),'Price rules'!$B$9)+IF(MOD(INT(F210*'Price rules'!$B$7),'Price rules'!$B$9)&lt;'Price rules'!$B$10,0,'Price rules'!$B$9))</x:f>
        <x:v>160</x:v>
      </x:c>
      <x:c r="I210" s="30" t="n">
        <x:f>IF(F210="","",FLOOR(INT(F210*'Price rules'!$B$8),'Price rules'!$B$9)+IF(MOD(INT(F210*'Price rules'!$B$8),'Price rules'!$B$9)&lt;'Price rules'!$B$10,0,'Price rules'!$B$9))</x:f>
        <x:v>180</x:v>
      </x:c>
      <x:c r="J210" s="30" t="n">
        <x:f>IF(N210="conditional","",SUMIFS($F$5:$F$394,$A$5:$A$394,A210,$C$5:$C$394,C210,$D$5:$D$394,"&lt;="&amp;D210)+SUMIF(Towers!$A$5:$A$30,A210,Towers!$E$5:$E$30))</x:f>
        <x:v>1000</x:v>
      </x:c>
      <x:c r="K210" s="30"/>
      <x:c r="L210" s="25" t="str">
        <x:v>rapid_fire</x:v>
      </x:c>
      <x:c r="M210" s="25" t="str">
        <x:v>Increases aiming rotation speed.</x:v>
      </x:c>
      <x:c r="N210" s="25" t="str">
        <x:v>fixed_upgrade_price</x:v>
      </x:c>
      <x:c r="O210" s="30" t="n">
        <x:v>150</x:v>
      </x:c>
      <x:c r="P210" s="25" t="str">
        <x:v>https://raw.githubusercontent.com/Btd6ModHelper/btd6-game-data/main/Towers/DartlingGunner/DartlingGunner-001.json</x:v>
      </x:c>
      <x:c r="Q210" s="25" t="str">
        <x:v>https://raw.githubusercontent.com/hemisemidemipresent/cyberquincy/master/jsons/costs.json</x:v>
      </x:c>
      <x:c r="R210" s="25" t="str">
        <x:v>https://raw.githubusercontent.com/Btd6ModHelper/btd6-game-data/main/textTable.json</x:v>
      </x:c>
      <x:c r="S210" s="25"/>
      <x:c r="T210" s="25"/>
    </x:row>
    <x:row r="211" ht="64" customHeight="1">
      <x:c r="A211" s="25" t="str">
        <x:v>Dartling Gunner</x:v>
      </x:c>
      <x:c r="B211" s="80" t="str">
        <x:v>002</x:v>
      </x:c>
      <x:c r="C211" s="25" t="str">
        <x:v>bottom</x:v>
      </x:c>
      <x:c r="D211" s="25" t="n">
        <x:v>2</x:v>
      </x:c>
      <x:c r="E211" s="25" t="str">
        <x:v>Powerful Darts</x:v>
      </x:c>
      <x:c r="F211" s="30" t="n">
        <x:v>1200</x:v>
      </x:c>
      <x:c r="G211" s="30" t="n">
        <x:f>IF(F211="","",FLOOR(INT(F211*'Price rules'!$B$5),'Price rules'!$B$9)+IF(MOD(INT(F211*'Price rules'!$B$5),'Price rules'!$B$9)&lt;'Price rules'!$B$10,0,'Price rules'!$B$9))</x:f>
        <x:v>1020</x:v>
      </x:c>
      <x:c r="H211" s="30" t="n">
        <x:f>IF(F211="","",FLOOR(INT(F211*'Price rules'!$B$7),'Price rules'!$B$9)+IF(MOD(INT(F211*'Price rules'!$B$7),'Price rules'!$B$9)&lt;'Price rules'!$B$10,0,'Price rules'!$B$9))</x:f>
        <x:v>1295</x:v>
      </x:c>
      <x:c r="I211" s="30" t="n">
        <x:f>IF(F211="","",FLOOR(INT(F211*'Price rules'!$B$8),'Price rules'!$B$9)+IF(MOD(INT(F211*'Price rules'!$B$8),'Price rules'!$B$9)&lt;'Price rules'!$B$10,0,'Price rules'!$B$9))</x:f>
        <x:v>1440</x:v>
      </x:c>
      <x:c r="J211" s="30" t="n">
        <x:f>IF(N211="conditional","",SUMIFS($F$5:$F$394,$A$5:$A$394,A211,$C$5:$C$394,C211,$D$5:$D$394,"&lt;="&amp;D211)+SUMIF(Towers!$A$5:$A$30,A211,Towers!$E$5:$E$30))</x:f>
        <x:v>2200</x:v>
      </x:c>
      <x:c r="K211" s="30"/>
      <x:c r="L211" s="25" t="str">
        <x:v>rapid_fire</x:v>
      </x:c>
      <x:c r="M211" s="25" t="str">
        <x:v>Improves dart speed and pierce and allows Frozen popping.</x:v>
      </x:c>
      <x:c r="N211" s="25" t="str">
        <x:v>fixed_upgrade_price</x:v>
      </x:c>
      <x:c r="O211" s="30" t="n">
        <x:v>1200</x:v>
      </x:c>
      <x:c r="P211" s="25" t="str">
        <x:v>https://raw.githubusercontent.com/Btd6ModHelper/btd6-game-data/main/Towers/DartlingGunner/DartlingGunner-002.json</x:v>
      </x:c>
      <x:c r="Q211" s="25" t="str">
        <x:v>https://raw.githubusercontent.com/hemisemidemipresent/cyberquincy/master/jsons/costs.json</x:v>
      </x:c>
      <x:c r="R211" s="25" t="str">
        <x:v>https://raw.githubusercontent.com/Btd6ModHelper/btd6-game-data/main/textTable.json</x:v>
      </x:c>
      <x:c r="S211" s="25"/>
      <x:c r="T211" s="25"/>
    </x:row>
    <x:row r="212" ht="64" customHeight="1">
      <x:c r="A212" s="25" t="str">
        <x:v>Dartling Gunner</x:v>
      </x:c>
      <x:c r="B212" s="80" t="str">
        <x:v>003</x:v>
      </x:c>
      <x:c r="C212" s="25" t="str">
        <x:v>bottom</x:v>
      </x:c>
      <x:c r="D212" s="25" t="n">
        <x:v>3</x:v>
      </x:c>
      <x:c r="E212" s="25" t="str">
        <x:v>Buckshot</x:v>
      </x:c>
      <x:c r="F212" s="30" t="n">
        <x:v>3000</x:v>
      </x:c>
      <x:c r="G212" s="30" t="n">
        <x:f>IF(F212="","",FLOOR(INT(F212*'Price rules'!$B$5),'Price rules'!$B$9)+IF(MOD(INT(F212*'Price rules'!$B$5),'Price rules'!$B$9)&lt;'Price rules'!$B$10,0,'Price rules'!$B$9))</x:f>
        <x:v>2550</x:v>
      </x:c>
      <x:c r="H212" s="30" t="n">
        <x:f>IF(F212="","",FLOOR(INT(F212*'Price rules'!$B$7),'Price rules'!$B$9)+IF(MOD(INT(F212*'Price rules'!$B$7),'Price rules'!$B$9)&lt;'Price rules'!$B$10,0,'Price rules'!$B$9))</x:f>
        <x:v>3240</x:v>
      </x:c>
      <x:c r="I212" s="30" t="n">
        <x:f>IF(F212="","",FLOOR(INT(F212*'Price rules'!$B$8),'Price rules'!$B$9)+IF(MOD(INT(F212*'Price rules'!$B$8),'Price rules'!$B$9)&lt;'Price rules'!$B$10,0,'Price rules'!$B$9))</x:f>
        <x:v>3600</x:v>
      </x:c>
      <x:c r="J212" s="30" t="n">
        <x:f>IF(N212="conditional","",SUMIFS($F$5:$F$394,$A$5:$A$394,A212,$C$5:$C$394,C212,$D$5:$D$394,"&lt;="&amp;D212)+SUMIF(Towers!$A$5:$A$30,A212,Towers!$E$5:$E$30))</x:f>
        <x:v>5200</x:v>
      </x:c>
      <x:c r="K212" s="30"/>
      <x:c r="L212" s="25" t="str">
        <x:v>rapid_fire</x:v>
      </x:c>
      <x:c r="M212" s="25" t="str">
        <x:v>Uses a spread of damaging pellets.</x:v>
      </x:c>
      <x:c r="N212" s="25" t="str">
        <x:v>fixed_upgrade_price</x:v>
      </x:c>
      <x:c r="O212" s="30" t="n">
        <x:v>3000</x:v>
      </x:c>
      <x:c r="P212" s="25" t="str">
        <x:v>https://raw.githubusercontent.com/Btd6ModHelper/btd6-game-data/main/Towers/DartlingGunner/DartlingGunner-003.json</x:v>
      </x:c>
      <x:c r="Q212" s="25" t="str">
        <x:v>https://raw.githubusercontent.com/hemisemidemipresent/cyberquincy/master/jsons/costs.json</x:v>
      </x:c>
      <x:c r="R212" s="25" t="str">
        <x:v>https://raw.githubusercontent.com/Btd6ModHelper/btd6-game-data/main/textTable.json</x:v>
      </x:c>
      <x:c r="S212" s="25"/>
      <x:c r="T212" s="25"/>
    </x:row>
    <x:row r="213" ht="64" customHeight="1">
      <x:c r="A213" s="25" t="str">
        <x:v>Dartling Gunner</x:v>
      </x:c>
      <x:c r="B213" s="80" t="str">
        <x:v>004</x:v>
      </x:c>
      <x:c r="C213" s="25" t="str">
        <x:v>bottom</x:v>
      </x:c>
      <x:c r="D213" s="25" t="n">
        <x:v>4</x:v>
      </x:c>
      <x:c r="E213" s="25" t="str">
        <x:v>Bloon Area Denial System</x:v>
      </x:c>
      <x:c r="F213" s="30" t="n">
        <x:v>12000</x:v>
      </x:c>
      <x:c r="G213" s="30" t="n">
        <x:f>IF(F213="","",FLOOR(INT(F213*'Price rules'!$B$5),'Price rules'!$B$9)+IF(MOD(INT(F213*'Price rules'!$B$5),'Price rules'!$B$9)&lt;'Price rules'!$B$10,0,'Price rules'!$B$9))</x:f>
        <x:v>10200</x:v>
      </x:c>
      <x:c r="H213" s="30" t="n">
        <x:f>IF(F213="","",FLOOR(INT(F213*'Price rules'!$B$7),'Price rules'!$B$9)+IF(MOD(INT(F213*'Price rules'!$B$7),'Price rules'!$B$9)&lt;'Price rules'!$B$10,0,'Price rules'!$B$9))</x:f>
        <x:v>12960</x:v>
      </x:c>
      <x:c r="I213" s="30" t="n">
        <x:f>IF(F213="","",FLOOR(INT(F213*'Price rules'!$B$8),'Price rules'!$B$9)+IF(MOD(INT(F213*'Price rules'!$B$8),'Price rules'!$B$9)&lt;'Price rules'!$B$10,0,'Price rules'!$B$9))</x:f>
        <x:v>14400</x:v>
      </x:c>
      <x:c r="J213" s="30" t="n">
        <x:f>IF(N213="conditional","",SUMIFS($F$5:$F$394,$A$5:$A$394,A213,$C$5:$C$394,C213,$D$5:$D$394,"&lt;="&amp;D213)+SUMIF(Towers!$A$5:$A$30,A213,Towers!$E$5:$E$30))</x:f>
        <x:v>17200</x:v>
      </x:c>
      <x:c r="K213" s="30"/>
      <x:c r="L213" s="25" t="str">
        <x:v>rapid_fire</x:v>
      </x:c>
      <x:c r="M213" s="25" t="str">
        <x:v>Adds four barrels and an automatic targeting mode.</x:v>
      </x:c>
      <x:c r="N213" s="25" t="str">
        <x:v>fixed_upgrade_price</x:v>
      </x:c>
      <x:c r="O213" s="30" t="n">
        <x:v>12000</x:v>
      </x:c>
      <x:c r="P213" s="25" t="str">
        <x:v>https://raw.githubusercontent.com/Btd6ModHelper/btd6-game-data/main/Towers/DartlingGunner/DartlingGunner-004.json</x:v>
      </x:c>
      <x:c r="Q213" s="25" t="str">
        <x:v>https://raw.githubusercontent.com/hemisemidemipresent/cyberquincy/master/jsons/costs.json</x:v>
      </x:c>
      <x:c r="R213" s="25" t="str">
        <x:v>https://raw.githubusercontent.com/Btd6ModHelper/btd6-game-data/main/textTable.json</x:v>
      </x:c>
      <x:c r="S213" s="25"/>
      <x:c r="T213" s="25"/>
    </x:row>
    <x:row r="214" ht="64" customHeight="1">
      <x:c r="A214" s="25" t="str">
        <x:v>Dartling Gunner</x:v>
      </x:c>
      <x:c r="B214" s="80" t="str">
        <x:v>005</x:v>
      </x:c>
      <x:c r="C214" s="25" t="str">
        <x:v>bottom</x:v>
      </x:c>
      <x:c r="D214" s="25" t="n">
        <x:v>5</x:v>
      </x:c>
      <x:c r="E214" s="25" t="str">
        <x:v>Bloon Exclusion Zone</x:v>
      </x:c>
      <x:c r="F214" s="30" t="n">
        <x:v>58000</x:v>
      </x:c>
      <x:c r="G214" s="30" t="n">
        <x:f>IF(F214="","",FLOOR(INT(F214*'Price rules'!$B$5),'Price rules'!$B$9)+IF(MOD(INT(F214*'Price rules'!$B$5),'Price rules'!$B$9)&lt;'Price rules'!$B$10,0,'Price rules'!$B$9))</x:f>
        <x:v>49300</x:v>
      </x:c>
      <x:c r="H214" s="30" t="n">
        <x:f>IF(F214="","",FLOOR(INT(F214*'Price rules'!$B$7),'Price rules'!$B$9)+IF(MOD(INT(F214*'Price rules'!$B$7),'Price rules'!$B$9)&lt;'Price rules'!$B$10,0,'Price rules'!$B$9))</x:f>
        <x:v>62640</x:v>
      </x:c>
      <x:c r="I214" s="30" t="n">
        <x:f>IF(F214="","",FLOOR(INT(F214*'Price rules'!$B$8),'Price rules'!$B$9)+IF(MOD(INT(F214*'Price rules'!$B$8),'Price rules'!$B$9)&lt;'Price rules'!$B$10,0,'Price rules'!$B$9))</x:f>
        <x:v>69600</x:v>
      </x:c>
      <x:c r="J214" s="30" t="n">
        <x:f>IF(N214="conditional","",SUMIFS($F$5:$F$394,$A$5:$A$394,A214,$C$5:$C$394,C214,$D$5:$D$394,"&lt;="&amp;D214)+SUMIF(Towers!$A$5:$A$30,A214,Towers!$E$5:$E$30))</x:f>
        <x:v>75200</x:v>
      </x:c>
      <x:c r="K214" s="30"/>
      <x:c r="L214" s="25" t="str">
        <x:v>rapid_fire</x:v>
      </x:c>
      <x:c r="M214" s="25" t="str">
        <x:v>Adds six barrels and much higher damage.</x:v>
      </x:c>
      <x:c r="N214" s="25" t="str">
        <x:v>fixed_upgrade_price</x:v>
      </x:c>
      <x:c r="O214" s="30" t="n">
        <x:v>58000</x:v>
      </x:c>
      <x:c r="P214" s="25" t="str">
        <x:v>https://raw.githubusercontent.com/Btd6ModHelper/btd6-game-data/main/Towers/DartlingGunner/DartlingGunner-005.json</x:v>
      </x:c>
      <x:c r="Q214" s="25" t="str">
        <x:v>https://raw.githubusercontent.com/hemisemidemipresent/cyberquincy/master/jsons/costs.json</x:v>
      </x:c>
      <x:c r="R214" s="25" t="str">
        <x:v>https://raw.githubusercontent.com/Btd6ModHelper/btd6-game-data/main/textTable.json</x:v>
      </x:c>
      <x:c r="S214" s="25"/>
      <x:c r="T214" s="25"/>
    </x:row>
    <x:row r="215" ht="64" customHeight="1">
      <x:c r="A215" s="25" t="str">
        <x:v>Wizard Monkey</x:v>
      </x:c>
      <x:c r="B215" s="80" t="str">
        <x:v>100</x:v>
      </x:c>
      <x:c r="C215" s="25" t="str">
        <x:v>top</x:v>
      </x:c>
      <x:c r="D215" s="25" t="n">
        <x:v>1</x:v>
      </x:c>
      <x:c r="E215" s="25" t="str">
        <x:v>Guided Magic</x:v>
      </x:c>
      <x:c r="F215" s="30" t="n">
        <x:v>175</x:v>
      </x:c>
      <x:c r="G215" s="30" t="n">
        <x:f>IF(F215="","",FLOOR(INT(F215*'Price rules'!$B$5),'Price rules'!$B$9)+IF(MOD(INT(F215*'Price rules'!$B$5),'Price rules'!$B$9)&lt;'Price rules'!$B$10,0,'Price rules'!$B$9))</x:f>
        <x:v>150</x:v>
      </x:c>
      <x:c r="H215" s="30" t="n">
        <x:f>IF(F215="","",FLOOR(INT(F215*'Price rules'!$B$7),'Price rules'!$B$9)+IF(MOD(INT(F215*'Price rules'!$B$7),'Price rules'!$B$9)&lt;'Price rules'!$B$10,0,'Price rules'!$B$9))</x:f>
        <x:v>190</x:v>
      </x:c>
      <x:c r="I215" s="30" t="n">
        <x:f>IF(F215="","",FLOOR(INT(F215*'Price rules'!$B$8),'Price rules'!$B$9)+IF(MOD(INT(F215*'Price rules'!$B$8),'Price rules'!$B$9)&lt;'Price rules'!$B$10,0,'Price rules'!$B$9))</x:f>
        <x:v>210</x:v>
      </x:c>
      <x:c r="J215" s="30" t="n">
        <x:f>IF(N215="conditional","",SUMIFS($F$5:$F$394,$A$5:$A$394,A215,$C$5:$C$394,C215,$D$5:$D$394,"&lt;="&amp;D215)+SUMIF(Towers!$A$5:$A$30,A215,Towers!$E$5:$E$30))</x:f>
        <x:v>425</x:v>
      </x:c>
      <x:c r="K215" s="30"/>
      <x:c r="L215" s="25" t="str">
        <x:v>basic_dps</x:v>
      </x:c>
      <x:c r="M215" s="25" t="str">
        <x:v>Magic projectiles seek targets, travel farther, and can pass through obstacles.</x:v>
      </x:c>
      <x:c r="N215" s="25" t="str">
        <x:v>fixed_upgrade_price</x:v>
      </x:c>
      <x:c r="O215" s="30" t="n">
        <x:v>175</x:v>
      </x:c>
      <x:c r="P215" s="25" t="str">
        <x:v>https://raw.githubusercontent.com/Btd6ModHelper/btd6-game-data/main/Towers/WizardMonkey/WizardMonkey-100.json</x:v>
      </x:c>
      <x:c r="Q215" s="25" t="str">
        <x:v>https://raw.githubusercontent.com/hemisemidemipresent/cyberquincy/master/jsons/costs.json</x:v>
      </x:c>
      <x:c r="R215" s="25" t="str">
        <x:v>https://raw.githubusercontent.com/Btd6ModHelper/btd6-game-data/main/textTable.json</x:v>
      </x:c>
      <x:c r="S215" s="25"/>
      <x:c r="T215" s="25"/>
    </x:row>
    <x:row r="216" ht="64" customHeight="1">
      <x:c r="A216" s="25" t="str">
        <x:v>Wizard Monkey</x:v>
      </x:c>
      <x:c r="B216" s="80" t="str">
        <x:v>200</x:v>
      </x:c>
      <x:c r="C216" s="25" t="str">
        <x:v>top</x:v>
      </x:c>
      <x:c r="D216" s="25" t="n">
        <x:v>2</x:v>
      </x:c>
      <x:c r="E216" s="25" t="str">
        <x:v>Arcane Blast</x:v>
      </x:c>
      <x:c r="F216" s="30" t="n">
        <x:v>450</x:v>
      </x:c>
      <x:c r="G216" s="30" t="n">
        <x:f>IF(F216="","",FLOOR(INT(F216*'Price rules'!$B$5),'Price rules'!$B$9)+IF(MOD(INT(F216*'Price rules'!$B$5),'Price rules'!$B$9)&lt;'Price rules'!$B$10,0,'Price rules'!$B$9))</x:f>
        <x:v>380</x:v>
      </x:c>
      <x:c r="H216" s="30" t="n">
        <x:f>IF(F216="","",FLOOR(INT(F216*'Price rules'!$B$7),'Price rules'!$B$9)+IF(MOD(INT(F216*'Price rules'!$B$7),'Price rules'!$B$9)&lt;'Price rules'!$B$10,0,'Price rules'!$B$9))</x:f>
        <x:v>485</x:v>
      </x:c>
      <x:c r="I216" s="30" t="n">
        <x:f>IF(F216="","",FLOOR(INT(F216*'Price rules'!$B$8),'Price rules'!$B$9)+IF(MOD(INT(F216*'Price rules'!$B$8),'Price rules'!$B$9)&lt;'Price rules'!$B$10,0,'Price rules'!$B$9))</x:f>
        <x:v>540</x:v>
      </x:c>
      <x:c r="J216" s="30" t="n">
        <x:f>IF(N216="conditional","",SUMIFS($F$5:$F$394,$A$5:$A$394,A216,$C$5:$C$394,C216,$D$5:$D$394,"&lt;="&amp;D216)+SUMIF(Towers!$A$5:$A$30,A216,Towers!$E$5:$E$30))</x:f>
        <x:v>875</x:v>
      </x:c>
      <x:c r="K216" s="30"/>
      <x:c r="L216" s="25" t="str">
        <x:v>basic_dps</x:v>
      </x:c>
      <x:c r="M216" s="25" t="str">
        <x:v>Raises the damage of the basic magic attack.</x:v>
      </x:c>
      <x:c r="N216" s="25" t="str">
        <x:v>fixed_upgrade_price</x:v>
      </x:c>
      <x:c r="O216" s="30" t="n">
        <x:v>450</x:v>
      </x:c>
      <x:c r="P216" s="25" t="str">
        <x:v>https://raw.githubusercontent.com/Btd6ModHelper/btd6-game-data/main/Towers/WizardMonkey/WizardMonkey-200.json</x:v>
      </x:c>
      <x:c r="Q216" s="25" t="str">
        <x:v>https://raw.githubusercontent.com/hemisemidemipresent/cyberquincy/master/jsons/costs.json</x:v>
      </x:c>
      <x:c r="R216" s="25" t="str">
        <x:v>https://raw.githubusercontent.com/Btd6ModHelper/btd6-game-data/main/textTable.json</x:v>
      </x:c>
      <x:c r="S216" s="25"/>
      <x:c r="T216" s="25"/>
    </x:row>
    <x:row r="217" ht="64" customHeight="1">
      <x:c r="A217" s="25" t="str">
        <x:v>Wizard Monkey</x:v>
      </x:c>
      <x:c r="B217" s="80" t="str">
        <x:v>300</x:v>
      </x:c>
      <x:c r="C217" s="25" t="str">
        <x:v>top</x:v>
      </x:c>
      <x:c r="D217" s="25" t="n">
        <x:v>3</x:v>
      </x:c>
      <x:c r="E217" s="25" t="str">
        <x:v>Arcane Mastery</x:v>
      </x:c>
      <x:c r="F217" s="30" t="n">
        <x:v>1450</x:v>
      </x:c>
      <x:c r="G217" s="30" t="n">
        <x:f>IF(F217="","",FLOOR(INT(F217*'Price rules'!$B$5),'Price rules'!$B$9)+IF(MOD(INT(F217*'Price rules'!$B$5),'Price rules'!$B$9)&lt;'Price rules'!$B$10,0,'Price rules'!$B$9))</x:f>
        <x:v>1230</x:v>
      </x:c>
      <x:c r="H217" s="30" t="n">
        <x:f>IF(F217="","",FLOOR(INT(F217*'Price rules'!$B$7),'Price rules'!$B$9)+IF(MOD(INT(F217*'Price rules'!$B$7),'Price rules'!$B$9)&lt;'Price rules'!$B$10,0,'Price rules'!$B$9))</x:f>
        <x:v>1565</x:v>
      </x:c>
      <x:c r="I217" s="30" t="n">
        <x:f>IF(F217="","",FLOOR(INT(F217*'Price rules'!$B$8),'Price rules'!$B$9)+IF(MOD(INT(F217*'Price rules'!$B$8),'Price rules'!$B$9)&lt;'Price rules'!$B$10,0,'Price rules'!$B$9))</x:f>
        <x:v>1740</x:v>
      </x:c>
      <x:c r="J217" s="30" t="n">
        <x:f>IF(N217="conditional","",SUMIFS($F$5:$F$394,$A$5:$A$394,A217,$C$5:$C$394,C217,$D$5:$D$394,"&lt;="&amp;D217)+SUMIF(Towers!$A$5:$A$30,A217,Towers!$E$5:$E$30))</x:f>
        <x:v>2325</x:v>
      </x:c>
      <x:c r="K217" s="30"/>
      <x:c r="L217" s="25" t="str">
        <x:v>basic_dps</x:v>
      </x:c>
      <x:c r="M217" s="25" t="str">
        <x:v>Improves magic attack speed, range, damage, and pierce.</x:v>
      </x:c>
      <x:c r="N217" s="25" t="str">
        <x:v>fixed_upgrade_price</x:v>
      </x:c>
      <x:c r="O217" s="30" t="n">
        <x:v>1450</x:v>
      </x:c>
      <x:c r="P217" s="25" t="str">
        <x:v>https://raw.githubusercontent.com/Btd6ModHelper/btd6-game-data/main/Towers/WizardMonkey/WizardMonkey-300.json</x:v>
      </x:c>
      <x:c r="Q217" s="25" t="str">
        <x:v>https://raw.githubusercontent.com/hemisemidemipresent/cyberquincy/master/jsons/costs.json</x:v>
      </x:c>
      <x:c r="R217" s="25" t="str">
        <x:v>https://raw.githubusercontent.com/Btd6ModHelper/btd6-game-data/main/textTable.json</x:v>
      </x:c>
      <x:c r="S217" s="25"/>
      <x:c r="T217" s="25"/>
    </x:row>
    <x:row r="218" ht="64" customHeight="1">
      <x:c r="A218" s="25" t="str">
        <x:v>Wizard Monkey</x:v>
      </x:c>
      <x:c r="B218" s="80" t="str">
        <x:v>400</x:v>
      </x:c>
      <x:c r="C218" s="25" t="str">
        <x:v>top</x:v>
      </x:c>
      <x:c r="D218" s="25" t="n">
        <x:v>4</x:v>
      </x:c>
      <x:c r="E218" s="25" t="str">
        <x:v>Arcane Spike</x:v>
      </x:c>
      <x:c r="F218" s="30" t="n">
        <x:v>10000</x:v>
      </x:c>
      <x:c r="G218" s="30" t="n">
        <x:f>IF(F218="","",FLOOR(INT(F218*'Price rules'!$B$5),'Price rules'!$B$9)+IF(MOD(INT(F218*'Price rules'!$B$5),'Price rules'!$B$9)&lt;'Price rules'!$B$10,0,'Price rules'!$B$9))</x:f>
        <x:v>8500</x:v>
      </x:c>
      <x:c r="H218" s="30" t="n">
        <x:f>IF(F218="","",FLOOR(INT(F218*'Price rules'!$B$7),'Price rules'!$B$9)+IF(MOD(INT(F218*'Price rules'!$B$7),'Price rules'!$B$9)&lt;'Price rules'!$B$10,0,'Price rules'!$B$9))</x:f>
        <x:v>10800</x:v>
      </x:c>
      <x:c r="I218" s="30" t="n">
        <x:f>IF(F218="","",FLOOR(INT(F218*'Price rules'!$B$8),'Price rules'!$B$9)+IF(MOD(INT(F218*'Price rules'!$B$8),'Price rules'!$B$9)&lt;'Price rules'!$B$10,0,'Price rules'!$B$9))</x:f>
        <x:v>12000</x:v>
      </x:c>
      <x:c r="J218" s="30" t="n">
        <x:f>IF(N218="conditional","",SUMIFS($F$5:$F$394,$A$5:$A$394,A218,$C$5:$C$394,C218,$D$5:$D$394,"&lt;="&amp;D218)+SUMIF(Towers!$A$5:$A$30,A218,Towers!$E$5:$E$30))</x:f>
        <x:v>12325</x:v>
      </x:c>
      <x:c r="K218" s="30"/>
      <x:c r="L218" s="25" t="str">
        <x:v>tank_killer</x:v>
      </x:c>
      <x:c r="M218" s="25" t="str">
        <x:v>Adds a faster magic attack with high MOAB-class damage.</x:v>
      </x:c>
      <x:c r="N218" s="25" t="str">
        <x:v>fixed_upgrade_price</x:v>
      </x:c>
      <x:c r="O218" s="30" t="n">
        <x:v>10000</x:v>
      </x:c>
      <x:c r="P218" s="25" t="str">
        <x:v>https://raw.githubusercontent.com/Btd6ModHelper/btd6-game-data/main/Towers/WizardMonkey/WizardMonkey-400.json</x:v>
      </x:c>
      <x:c r="Q218" s="25" t="str">
        <x:v>https://raw.githubusercontent.com/hemisemidemipresent/cyberquincy/master/jsons/costs.json</x:v>
      </x:c>
      <x:c r="R218" s="25" t="str">
        <x:v>https://raw.githubusercontent.com/Btd6ModHelper/btd6-game-data/main/textTable.json</x:v>
      </x:c>
      <x:c r="S218" s="25"/>
      <x:c r="T218" s="25"/>
    </x:row>
    <x:row r="219" ht="64" customHeight="1">
      <x:c r="A219" s="25" t="str">
        <x:v>Wizard Monkey</x:v>
      </x:c>
      <x:c r="B219" s="80" t="str">
        <x:v>500</x:v>
      </x:c>
      <x:c r="C219" s="25" t="str">
        <x:v>top</x:v>
      </x:c>
      <x:c r="D219" s="25" t="n">
        <x:v>5</x:v>
      </x:c>
      <x:c r="E219" s="25" t="str">
        <x:v>Archmage</x:v>
      </x:c>
      <x:c r="F219" s="30" t="n">
        <x:v>32000</x:v>
      </x:c>
      <x:c r="G219" s="30" t="n">
        <x:f>IF(F219="","",FLOOR(INT(F219*'Price rules'!$B$5),'Price rules'!$B$9)+IF(MOD(INT(F219*'Price rules'!$B$5),'Price rules'!$B$9)&lt;'Price rules'!$B$10,0,'Price rules'!$B$9))</x:f>
        <x:v>27200</x:v>
      </x:c>
      <x:c r="H219" s="30" t="n">
        <x:f>IF(F219="","",FLOOR(INT(F219*'Price rules'!$B$7),'Price rules'!$B$9)+IF(MOD(INT(F219*'Price rules'!$B$7),'Price rules'!$B$9)&lt;'Price rules'!$B$10,0,'Price rules'!$B$9))</x:f>
        <x:v>34560</x:v>
      </x:c>
      <x:c r="I219" s="30" t="n">
        <x:f>IF(F219="","",FLOOR(INT(F219*'Price rules'!$B$8),'Price rules'!$B$9)+IF(MOD(INT(F219*'Price rules'!$B$8),'Price rules'!$B$9)&lt;'Price rules'!$B$10,0,'Price rules'!$B$9))</x:f>
        <x:v>38400</x:v>
      </x:c>
      <x:c r="J219" s="30" t="n">
        <x:f>IF(N219="conditional","",SUMIFS($F$5:$F$394,$A$5:$A$394,A219,$C$5:$C$394,C219,$D$5:$D$394,"&lt;="&amp;D219)+SUMIF(Towers!$A$5:$A$30,A219,Towers!$E$5:$E$30))</x:f>
        <x:v>44325</x:v>
      </x:c>
      <x:c r="K219" s="30"/>
      <x:c r="L219" s="25" t="str">
        <x:v>tank_killer</x:v>
      </x:c>
      <x:c r="M219" s="25" t="str">
        <x:v>Further increases magic damage and firing speed, especially against MOAB-class targets.</x:v>
      </x:c>
      <x:c r="N219" s="25" t="str">
        <x:v>fixed_upgrade_price</x:v>
      </x:c>
      <x:c r="O219" s="30" t="n">
        <x:v>32000</x:v>
      </x:c>
      <x:c r="P219" s="25" t="str">
        <x:v>https://raw.githubusercontent.com/Btd6ModHelper/btd6-game-data/main/Towers/WizardMonkey/WizardMonkey-500.json</x:v>
      </x:c>
      <x:c r="Q219" s="25" t="str">
        <x:v>https://raw.githubusercontent.com/hemisemidemipresent/cyberquincy/master/jsons/costs.json</x:v>
      </x:c>
      <x:c r="R219" s="25" t="str">
        <x:v>https://raw.githubusercontent.com/Btd6ModHelper/btd6-game-data/main/textTable.json</x:v>
      </x:c>
      <x:c r="S219" s="25"/>
      <x:c r="T219" s="25"/>
    </x:row>
    <x:row r="220" ht="64" customHeight="1">
      <x:c r="A220" s="25" t="str">
        <x:v>Wizard Monkey</x:v>
      </x:c>
      <x:c r="B220" s="80" t="str">
        <x:v>010</x:v>
      </x:c>
      <x:c r="C220" s="25" t="str">
        <x:v>middle</x:v>
      </x:c>
      <x:c r="D220" s="25" t="n">
        <x:v>1</x:v>
      </x:c>
      <x:c r="E220" s="25" t="str">
        <x:v>Fireball</x:v>
      </x:c>
      <x:c r="F220" s="30" t="n">
        <x:v>300</x:v>
      </x:c>
      <x:c r="G220" s="30" t="n">
        <x:f>IF(F220="","",FLOOR(INT(F220*'Price rules'!$B$5),'Price rules'!$B$9)+IF(MOD(INT(F220*'Price rules'!$B$5),'Price rules'!$B$9)&lt;'Price rules'!$B$10,0,'Price rules'!$B$9))</x:f>
        <x:v>255</x:v>
      </x:c>
      <x:c r="H220" s="30" t="n">
        <x:f>IF(F220="","",FLOOR(INT(F220*'Price rules'!$B$7),'Price rules'!$B$9)+IF(MOD(INT(F220*'Price rules'!$B$7),'Price rules'!$B$9)&lt;'Price rules'!$B$10,0,'Price rules'!$B$9))</x:f>
        <x:v>325</x:v>
      </x:c>
      <x:c r="I220" s="30" t="n">
        <x:f>IF(F220="","",FLOOR(INT(F220*'Price rules'!$B$8),'Price rules'!$B$9)+IF(MOD(INT(F220*'Price rules'!$B$8),'Price rules'!$B$9)&lt;'Price rules'!$B$10,0,'Price rules'!$B$9))</x:f>
        <x:v>360</x:v>
      </x:c>
      <x:c r="J220" s="30" t="n">
        <x:f>IF(N220="conditional","",SUMIFS($F$5:$F$394,$A$5:$A$394,A220,$C$5:$C$394,C220,$D$5:$D$394,"&lt;="&amp;D220)+SUMIF(Towers!$A$5:$A$30,A220,Towers!$E$5:$E$30))</x:f>
        <x:v>550</x:v>
      </x:c>
      <x:c r="K220" s="30"/>
      <x:c r="L220" s="25" t="str">
        <x:v>basic_dps</x:v>
      </x:c>
      <x:c r="M220" s="25" t="str">
        <x:v>Adds a separate explosive fireball attack.</x:v>
      </x:c>
      <x:c r="N220" s="25" t="str">
        <x:v>fixed_upgrade_price</x:v>
      </x:c>
      <x:c r="O220" s="30" t="n">
        <x:v>300</x:v>
      </x:c>
      <x:c r="P220" s="25" t="str">
        <x:v>https://raw.githubusercontent.com/Btd6ModHelper/btd6-game-data/main/Towers/WizardMonkey/WizardMonkey-010.json</x:v>
      </x:c>
      <x:c r="Q220" s="25" t="str">
        <x:v>https://raw.githubusercontent.com/hemisemidemipresent/cyberquincy/master/jsons/costs.json</x:v>
      </x:c>
      <x:c r="R220" s="25" t="str">
        <x:v>https://raw.githubusercontent.com/Btd6ModHelper/btd6-game-data/main/textTable.json</x:v>
      </x:c>
      <x:c r="S220" s="25"/>
      <x:c r="T220" s="25"/>
    </x:row>
    <x:row r="221" ht="64" customHeight="1">
      <x:c r="A221" s="25" t="str">
        <x:v>Wizard Monkey</x:v>
      </x:c>
      <x:c r="B221" s="80" t="str">
        <x:v>020</x:v>
      </x:c>
      <x:c r="C221" s="25" t="str">
        <x:v>middle</x:v>
      </x:c>
      <x:c r="D221" s="25" t="n">
        <x:v>2</x:v>
      </x:c>
      <x:c r="E221" s="25" t="str">
        <x:v>Wall of Fire</x:v>
      </x:c>
      <x:c r="F221" s="30" t="n">
        <x:v>800</x:v>
      </x:c>
      <x:c r="G221" s="30" t="n">
        <x:f>IF(F221="","",FLOOR(INT(F221*'Price rules'!$B$5),'Price rules'!$B$9)+IF(MOD(INT(F221*'Price rules'!$B$5),'Price rules'!$B$9)&lt;'Price rules'!$B$10,0,'Price rules'!$B$9))</x:f>
        <x:v>680</x:v>
      </x:c>
      <x:c r="H221" s="30" t="n">
        <x:f>IF(F221="","",FLOOR(INT(F221*'Price rules'!$B$7),'Price rules'!$B$9)+IF(MOD(INT(F221*'Price rules'!$B$7),'Price rules'!$B$9)&lt;'Price rules'!$B$10,0,'Price rules'!$B$9))</x:f>
        <x:v>865</x:v>
      </x:c>
      <x:c r="I221" s="30" t="n">
        <x:f>IF(F221="","",FLOOR(INT(F221*'Price rules'!$B$8),'Price rules'!$B$9)+IF(MOD(INT(F221*'Price rules'!$B$8),'Price rules'!$B$9)&lt;'Price rules'!$B$10,0,'Price rules'!$B$9))</x:f>
        <x:v>960</x:v>
      </x:c>
      <x:c r="J221" s="30" t="n">
        <x:f>IF(N221="conditional","",SUMIFS($F$5:$F$394,$A$5:$A$394,A221,$C$5:$C$394,C221,$D$5:$D$394,"&lt;="&amp;D221)+SUMIF(Towers!$A$5:$A$30,A221,Towers!$E$5:$E$30))</x:f>
        <x:v>1350</x:v>
      </x:c>
      <x:c r="K221" s="30"/>
      <x:c r="L221" s="25" t="str">
        <x:v>basic_dps</x:v>
      </x:c>
      <x:c r="M221" s="25" t="str">
        <x:v>Periodically creates a damaging fire zone on the track.</x:v>
      </x:c>
      <x:c r="N221" s="25" t="str">
        <x:v>fixed_upgrade_price</x:v>
      </x:c>
      <x:c r="O221" s="30" t="n">
        <x:v>800</x:v>
      </x:c>
      <x:c r="P221" s="25" t="str">
        <x:v>https://raw.githubusercontent.com/Btd6ModHelper/btd6-game-data/main/Towers/WizardMonkey/WizardMonkey-020.json</x:v>
      </x:c>
      <x:c r="Q221" s="25" t="str">
        <x:v>https://raw.githubusercontent.com/hemisemidemipresent/cyberquincy/master/jsons/costs.json</x:v>
      </x:c>
      <x:c r="R221" s="25" t="str">
        <x:v>https://raw.githubusercontent.com/Btd6ModHelper/btd6-game-data/main/textTable.json</x:v>
      </x:c>
      <x:c r="S221" s="25"/>
      <x:c r="T221" s="25"/>
    </x:row>
    <x:row r="222" ht="64" customHeight="1">
      <x:c r="A222" s="25" t="str">
        <x:v>Wizard Monkey</x:v>
      </x:c>
      <x:c r="B222" s="80" t="str">
        <x:v>030</x:v>
      </x:c>
      <x:c r="C222" s="25" t="str">
        <x:v>middle</x:v>
      </x:c>
      <x:c r="D222" s="25" t="n">
        <x:v>3</x:v>
      </x:c>
      <x:c r="E222" s="25" t="str">
        <x:v>Dragon's Breath</x:v>
      </x:c>
      <x:c r="F222" s="30" t="n">
        <x:v>3300</x:v>
      </x:c>
      <x:c r="G222" s="30" t="n">
        <x:f>IF(F222="","",FLOOR(INT(F222*'Price rules'!$B$5),'Price rules'!$B$9)+IF(MOD(INT(F222*'Price rules'!$B$5),'Price rules'!$B$9)&lt;'Price rules'!$B$10,0,'Price rules'!$B$9))</x:f>
        <x:v>2805</x:v>
      </x:c>
      <x:c r="H222" s="30" t="n">
        <x:f>IF(F222="","",FLOOR(INT(F222*'Price rules'!$B$7),'Price rules'!$B$9)+IF(MOD(INT(F222*'Price rules'!$B$7),'Price rules'!$B$9)&lt;'Price rules'!$B$10,0,'Price rules'!$B$9))</x:f>
        <x:v>3565</x:v>
      </x:c>
      <x:c r="I222" s="30" t="n">
        <x:f>IF(F222="","",FLOOR(INT(F222*'Price rules'!$B$8),'Price rules'!$B$9)+IF(MOD(INT(F222*'Price rules'!$B$8),'Price rules'!$B$9)&lt;'Price rules'!$B$10,0,'Price rules'!$B$9))</x:f>
        <x:v>3960</x:v>
      </x:c>
      <x:c r="J222" s="30" t="n">
        <x:f>IF(N222="conditional","",SUMIFS($F$5:$F$394,$A$5:$A$394,A222,$C$5:$C$394,C222,$D$5:$D$394,"&lt;="&amp;D222)+SUMIF(Towers!$A$5:$A$30,A222,Towers!$E$5:$E$30))</x:f>
        <x:v>4650</x:v>
      </x:c>
      <x:c r="K222" s="30"/>
      <x:c r="L222" s="25" t="str">
        <x:v>splash</x:v>
      </x:c>
      <x:c r="M222" s="25" t="str">
        <x:v>Adds a sustained flame attack and improves other fire attacks.</x:v>
      </x:c>
      <x:c r="N222" s="25" t="str">
        <x:v>fixed_upgrade_price</x:v>
      </x:c>
      <x:c r="O222" s="30" t="n">
        <x:v>3300</x:v>
      </x:c>
      <x:c r="P222" s="25" t="str">
        <x:v>https://raw.githubusercontent.com/Btd6ModHelper/btd6-game-data/main/Towers/WizardMonkey/WizardMonkey-030.json</x:v>
      </x:c>
      <x:c r="Q222" s="25" t="str">
        <x:v>https://raw.githubusercontent.com/hemisemidemipresent/cyberquincy/master/jsons/costs.json</x:v>
      </x:c>
      <x:c r="R222" s="25" t="str">
        <x:v>https://raw.githubusercontent.com/Btd6ModHelper/btd6-game-data/main/textTable.json</x:v>
      </x:c>
      <x:c r="S222" s="25"/>
      <x:c r="T222" s="25"/>
    </x:row>
    <x:row r="223" ht="64" customHeight="1">
      <x:c r="A223" s="25" t="str">
        <x:v>Wizard Monkey</x:v>
      </x:c>
      <x:c r="B223" s="80" t="str">
        <x:v>040</x:v>
      </x:c>
      <x:c r="C223" s="25" t="str">
        <x:v>middle</x:v>
      </x:c>
      <x:c r="D223" s="25" t="n">
        <x:v>4</x:v>
      </x:c>
      <x:c r="E223" s="25" t="str">
        <x:v>Summon Phoenix</x:v>
      </x:c>
      <x:c r="F223" s="30" t="n">
        <x:v>6000</x:v>
      </x:c>
      <x:c r="G223" s="30" t="n">
        <x:f>IF(F223="","",FLOOR(INT(F223*'Price rules'!$B$5),'Price rules'!$B$9)+IF(MOD(INT(F223*'Price rules'!$B$5),'Price rules'!$B$9)&lt;'Price rules'!$B$10,0,'Price rules'!$B$9))</x:f>
        <x:v>5100</x:v>
      </x:c>
      <x:c r="H223" s="30" t="n">
        <x:f>IF(F223="","",FLOOR(INT(F223*'Price rules'!$B$7),'Price rules'!$B$9)+IF(MOD(INT(F223*'Price rules'!$B$7),'Price rules'!$B$9)&lt;'Price rules'!$B$10,0,'Price rules'!$B$9))</x:f>
        <x:v>6480</x:v>
      </x:c>
      <x:c r="I223" s="30" t="n">
        <x:f>IF(F223="","",FLOOR(INT(F223*'Price rules'!$B$8),'Price rules'!$B$9)+IF(MOD(INT(F223*'Price rules'!$B$8),'Price rules'!$B$9)&lt;'Price rules'!$B$10,0,'Price rules'!$B$9))</x:f>
        <x:v>7200</x:v>
      </x:c>
      <x:c r="J223" s="30" t="n">
        <x:f>IF(N223="conditional","",SUMIFS($F$5:$F$394,$A$5:$A$394,A223,$C$5:$C$394,C223,$D$5:$D$394,"&lt;="&amp;D223)+SUMIF(Towers!$A$5:$A$30,A223,Towers!$E$5:$E$30))</x:f>
        <x:v>10650</x:v>
      </x:c>
      <x:c r="K223" s="30"/>
      <x:c r="L223" s="25" t="str">
        <x:v>summoner</x:v>
      </x:c>
      <x:c r="M223" s="25" t="str">
        <x:v>Adds an ability that temporarily summons a flying Phoenix.</x:v>
      </x:c>
      <x:c r="N223" s="25" t="str">
        <x:v>fixed_upgrade_price</x:v>
      </x:c>
      <x:c r="O223" s="30" t="n">
        <x:v>6000</x:v>
      </x:c>
      <x:c r="P223" s="25" t="str">
        <x:v>https://raw.githubusercontent.com/Btd6ModHelper/btd6-game-data/main/Towers/WizardMonkey/WizardMonkey-040.json</x:v>
      </x:c>
      <x:c r="Q223" s="25" t="str">
        <x:v>https://raw.githubusercontent.com/hemisemidemipresent/cyberquincy/master/jsons/costs.json</x:v>
      </x:c>
      <x:c r="R223" s="25" t="str">
        <x:v>https://raw.githubusercontent.com/Btd6ModHelper/btd6-game-data/main/textTable.json</x:v>
      </x:c>
      <x:c r="S223" s="25"/>
      <x:c r="T223" s="25"/>
    </x:row>
    <x:row r="224" ht="64" customHeight="1">
      <x:c r="A224" s="25" t="str">
        <x:v>Wizard Monkey</x:v>
      </x:c>
      <x:c r="B224" s="80" t="str">
        <x:v>050</x:v>
      </x:c>
      <x:c r="C224" s="25" t="str">
        <x:v>middle</x:v>
      </x:c>
      <x:c r="D224" s="25" t="n">
        <x:v>5</x:v>
      </x:c>
      <x:c r="E224" s="25" t="str">
        <x:v>Wizard Lord Phoenix</x:v>
      </x:c>
      <x:c r="F224" s="30" t="n">
        <x:v>50000</x:v>
      </x:c>
      <x:c r="G224" s="30" t="n">
        <x:f>IF(F224="","",FLOOR(INT(F224*'Price rules'!$B$5),'Price rules'!$B$9)+IF(MOD(INT(F224*'Price rules'!$B$5),'Price rules'!$B$9)&lt;'Price rules'!$B$10,0,'Price rules'!$B$9))</x:f>
        <x:v>42500</x:v>
      </x:c>
      <x:c r="H224" s="30" t="n">
        <x:f>IF(F224="","",FLOOR(INT(F224*'Price rules'!$B$7),'Price rules'!$B$9)+IF(MOD(INT(F224*'Price rules'!$B$7),'Price rules'!$B$9)&lt;'Price rules'!$B$10,0,'Price rules'!$B$9))</x:f>
        <x:v>54000</x:v>
      </x:c>
      <x:c r="I224" s="30" t="n">
        <x:f>IF(F224="","",FLOOR(INT(F224*'Price rules'!$B$8),'Price rules'!$B$9)+IF(MOD(INT(F224*'Price rules'!$B$8),'Price rules'!$B$9)&lt;'Price rules'!$B$10,0,'Price rules'!$B$9))</x:f>
        <x:v>60000</x:v>
      </x:c>
      <x:c r="J224" s="30" t="n">
        <x:f>IF(N224="conditional","",SUMIFS($F$5:$F$394,$A$5:$A$394,A224,$C$5:$C$394,C224,$D$5:$D$394,"&lt;="&amp;D224)+SUMIF(Towers!$A$5:$A$30,A224,Towers!$E$5:$E$30))</x:f>
        <x:v>60650</x:v>
      </x:c>
      <x:c r="K224" s="30"/>
      <x:c r="L224" s="25" t="str">
        <x:v>summoner</x:v>
      </x:c>
      <x:c r="M224" s="25" t="str">
        <x:v>Upgrades the Phoenix ability and the Wizard's fire attacks.</x:v>
      </x:c>
      <x:c r="N224" s="25" t="str">
        <x:v>fixed_upgrade_price</x:v>
      </x:c>
      <x:c r="O224" s="30" t="n">
        <x:v>50000</x:v>
      </x:c>
      <x:c r="P224" s="25" t="str">
        <x:v>https://raw.githubusercontent.com/Btd6ModHelper/btd6-game-data/main/Towers/WizardMonkey/WizardMonkey-050.json</x:v>
      </x:c>
      <x:c r="Q224" s="25" t="str">
        <x:v>https://raw.githubusercontent.com/hemisemidemipresent/cyberquincy/master/jsons/costs.json</x:v>
      </x:c>
      <x:c r="R224" s="25" t="str">
        <x:v>https://raw.githubusercontent.com/Btd6ModHelper/btd6-game-data/main/textTable.json</x:v>
      </x:c>
      <x:c r="S224" s="25"/>
      <x:c r="T224" s="25"/>
    </x:row>
    <x:row r="225" ht="64" customHeight="1">
      <x:c r="A225" s="25" t="str">
        <x:v>Wizard Monkey</x:v>
      </x:c>
      <x:c r="B225" s="80" t="str">
        <x:v>001</x:v>
      </x:c>
      <x:c r="C225" s="25" t="str">
        <x:v>bottom</x:v>
      </x:c>
      <x:c r="D225" s="25" t="n">
        <x:v>1</x:v>
      </x:c>
      <x:c r="E225" s="25" t="str">
        <x:v>Intense Magic</x:v>
      </x:c>
      <x:c r="F225" s="30" t="n">
        <x:v>300</x:v>
      </x:c>
      <x:c r="G225" s="30" t="n">
        <x:f>IF(F225="","",FLOOR(INT(F225*'Price rules'!$B$5),'Price rules'!$B$9)+IF(MOD(INT(F225*'Price rules'!$B$5),'Price rules'!$B$9)&lt;'Price rules'!$B$10,0,'Price rules'!$B$9))</x:f>
        <x:v>255</x:v>
      </x:c>
      <x:c r="H225" s="30" t="n">
        <x:f>IF(F225="","",FLOOR(INT(F225*'Price rules'!$B$7),'Price rules'!$B$9)+IF(MOD(INT(F225*'Price rules'!$B$7),'Price rules'!$B$9)&lt;'Price rules'!$B$10,0,'Price rules'!$B$9))</x:f>
        <x:v>325</x:v>
      </x:c>
      <x:c r="I225" s="30" t="n">
        <x:f>IF(F225="","",FLOOR(INT(F225*'Price rules'!$B$8),'Price rules'!$B$9)+IF(MOD(INT(F225*'Price rules'!$B$8),'Price rules'!$B$9)&lt;'Price rules'!$B$10,0,'Price rules'!$B$9))</x:f>
        <x:v>360</x:v>
      </x:c>
      <x:c r="J225" s="30" t="n">
        <x:f>IF(N225="conditional","",SUMIFS($F$5:$F$394,$A$5:$A$394,A225,$C$5:$C$394,C225,$D$5:$D$394,"&lt;="&amp;D225)+SUMIF(Towers!$A$5:$A$30,A225,Towers!$E$5:$E$30))</x:f>
        <x:v>550</x:v>
      </x:c>
      <x:c r="K225" s="30"/>
      <x:c r="L225" s="25" t="str">
        <x:v>basic_dps</x:v>
      </x:c>
      <x:c r="M225" s="25" t="str">
        <x:v>Increases magic projectile speed and pierce.</x:v>
      </x:c>
      <x:c r="N225" s="25" t="str">
        <x:v>fixed_upgrade_price</x:v>
      </x:c>
      <x:c r="O225" s="30" t="n">
        <x:v>300</x:v>
      </x:c>
      <x:c r="P225" s="25" t="str">
        <x:v>https://raw.githubusercontent.com/Btd6ModHelper/btd6-game-data/main/Towers/WizardMonkey/WizardMonkey-001.json</x:v>
      </x:c>
      <x:c r="Q225" s="25" t="str">
        <x:v>https://raw.githubusercontent.com/hemisemidemipresent/cyberquincy/master/jsons/costs.json</x:v>
      </x:c>
      <x:c r="R225" s="25" t="str">
        <x:v>https://raw.githubusercontent.com/Btd6ModHelper/btd6-game-data/main/textTable.json</x:v>
      </x:c>
      <x:c r="S225" s="25"/>
      <x:c r="T225" s="25"/>
    </x:row>
    <x:row r="226" ht="64" customHeight="1">
      <x:c r="A226" s="25" t="str">
        <x:v>Wizard Monkey</x:v>
      </x:c>
      <x:c r="B226" s="80" t="str">
        <x:v>002</x:v>
      </x:c>
      <x:c r="C226" s="25" t="str">
        <x:v>bottom</x:v>
      </x:c>
      <x:c r="D226" s="25" t="n">
        <x:v>2</x:v>
      </x:c>
      <x:c r="E226" s="25" t="str">
        <x:v>Monkey Sense</x:v>
      </x:c>
      <x:c r="F226" s="30" t="n">
        <x:v>300</x:v>
      </x:c>
      <x:c r="G226" s="30" t="n">
        <x:f>IF(F226="","",FLOOR(INT(F226*'Price rules'!$B$5),'Price rules'!$B$9)+IF(MOD(INT(F226*'Price rules'!$B$5),'Price rules'!$B$9)&lt;'Price rules'!$B$10,0,'Price rules'!$B$9))</x:f>
        <x:v>255</x:v>
      </x:c>
      <x:c r="H226" s="30" t="n">
        <x:f>IF(F226="","",FLOOR(INT(F226*'Price rules'!$B$7),'Price rules'!$B$9)+IF(MOD(INT(F226*'Price rules'!$B$7),'Price rules'!$B$9)&lt;'Price rules'!$B$10,0,'Price rules'!$B$9))</x:f>
        <x:v>325</x:v>
      </x:c>
      <x:c r="I226" s="30" t="n">
        <x:f>IF(F226="","",FLOOR(INT(F226*'Price rules'!$B$8),'Price rules'!$B$9)+IF(MOD(INT(F226*'Price rules'!$B$8),'Price rules'!$B$9)&lt;'Price rules'!$B$10,0,'Price rules'!$B$9))</x:f>
        <x:v>360</x:v>
      </x:c>
      <x:c r="J226" s="30" t="n">
        <x:f>IF(N226="conditional","",SUMIFS($F$5:$F$394,$A$5:$A$394,A226,$C$5:$C$394,C226,$D$5:$D$394,"&lt;="&amp;D226)+SUMIF(Towers!$A$5:$A$30,A226,Towers!$E$5:$E$30))</x:f>
        <x:v>850</x:v>
      </x:c>
      <x:c r="K226" s="30"/>
      <x:c r="L226" s="25" t="str">
        <x:v>basic_dps</x:v>
      </x:c>
      <x:c r="M226" s="25" t="str">
        <x:v>Adds Camo detection and increases range.</x:v>
      </x:c>
      <x:c r="N226" s="25" t="str">
        <x:v>fixed_upgrade_price</x:v>
      </x:c>
      <x:c r="O226" s="30" t="n">
        <x:v>300</x:v>
      </x:c>
      <x:c r="P226" s="25" t="str">
        <x:v>https://raw.githubusercontent.com/Btd6ModHelper/btd6-game-data/main/Towers/WizardMonkey/WizardMonkey-002.json</x:v>
      </x:c>
      <x:c r="Q226" s="25" t="str">
        <x:v>https://raw.githubusercontent.com/hemisemidemipresent/cyberquincy/master/jsons/costs.json</x:v>
      </x:c>
      <x:c r="R226" s="25" t="str">
        <x:v>https://raw.githubusercontent.com/Btd6ModHelper/btd6-game-data/main/textTable.json</x:v>
      </x:c>
      <x:c r="S226" s="25"/>
      <x:c r="T226" s="25"/>
    </x:row>
    <x:row r="227" ht="64" customHeight="1">
      <x:c r="A227" s="25" t="str">
        <x:v>Wizard Monkey</x:v>
      </x:c>
      <x:c r="B227" s="80" t="str">
        <x:v>003</x:v>
      </x:c>
      <x:c r="C227" s="25" t="str">
        <x:v>bottom</x:v>
      </x:c>
      <x:c r="D227" s="25" t="n">
        <x:v>3</x:v>
      </x:c>
      <x:c r="E227" s="25" t="str">
        <x:v>Shimmer</x:v>
      </x:c>
      <x:c r="F227" s="30" t="n">
        <x:v>1500</x:v>
      </x:c>
      <x:c r="G227" s="30" t="n">
        <x:f>IF(F227="","",FLOOR(INT(F227*'Price rules'!$B$5),'Price rules'!$B$9)+IF(MOD(INT(F227*'Price rules'!$B$5),'Price rules'!$B$9)&lt;'Price rules'!$B$10,0,'Price rules'!$B$9))</x:f>
        <x:v>1275</x:v>
      </x:c>
      <x:c r="H227" s="30" t="n">
        <x:f>IF(F227="","",FLOOR(INT(F227*'Price rules'!$B$7),'Price rules'!$B$9)+IF(MOD(INT(F227*'Price rules'!$B$7),'Price rules'!$B$9)&lt;'Price rules'!$B$10,0,'Price rules'!$B$9))</x:f>
        <x:v>1620</x:v>
      </x:c>
      <x:c r="I227" s="30" t="n">
        <x:f>IF(F227="","",FLOOR(INT(F227*'Price rules'!$B$8),'Price rules'!$B$9)+IF(MOD(INT(F227*'Price rules'!$B$8),'Price rules'!$B$9)&lt;'Price rules'!$B$10,0,'Price rules'!$B$9))</x:f>
        <x:v>1800</x:v>
      </x:c>
      <x:c r="J227" s="30" t="n">
        <x:f>IF(N227="conditional","",SUMIFS($F$5:$F$394,$A$5:$A$394,A227,$C$5:$C$394,C227,$D$5:$D$394,"&lt;="&amp;D227)+SUMIF(Towers!$A$5:$A$30,A227,Towers!$E$5:$E$30))</x:f>
        <x:v>2350</x:v>
      </x:c>
      <x:c r="K227" s="30"/>
      <x:c r="L227" s="25" t="str">
        <x:v>support</x:v>
      </x:c>
      <x:c r="M227" s="25" t="str">
        <x:v>Periodically removes Camo from nearby targets.</x:v>
      </x:c>
      <x:c r="N227" s="25" t="str">
        <x:v>fixed_upgrade_price</x:v>
      </x:c>
      <x:c r="O227" s="30" t="n">
        <x:v>1500</x:v>
      </x:c>
      <x:c r="P227" s="25" t="str">
        <x:v>https://raw.githubusercontent.com/Btd6ModHelper/btd6-game-data/main/Towers/WizardMonkey/WizardMonkey-003.json</x:v>
      </x:c>
      <x:c r="Q227" s="25" t="str">
        <x:v>https://raw.githubusercontent.com/hemisemidemipresent/cyberquincy/master/jsons/costs.json</x:v>
      </x:c>
      <x:c r="R227" s="25" t="str">
        <x:v>https://raw.githubusercontent.com/Btd6ModHelper/btd6-game-data/main/textTable.json</x:v>
      </x:c>
      <x:c r="S227" s="25"/>
      <x:c r="T227" s="25"/>
    </x:row>
    <x:row r="228" ht="64" customHeight="1">
      <x:c r="A228" s="25" t="str">
        <x:v>Wizard Monkey</x:v>
      </x:c>
      <x:c r="B228" s="80" t="str">
        <x:v>004</x:v>
      </x:c>
      <x:c r="C228" s="25" t="str">
        <x:v>bottom</x:v>
      </x:c>
      <x:c r="D228" s="25" t="n">
        <x:v>4</x:v>
      </x:c>
      <x:c r="E228" s="25" t="str">
        <x:v>Necromancer: Unpopped Army</x:v>
      </x:c>
      <x:c r="F228" s="30" t="n">
        <x:v>2800</x:v>
      </x:c>
      <x:c r="G228" s="30" t="n">
        <x:f>IF(F228="","",FLOOR(INT(F228*'Price rules'!$B$5),'Price rules'!$B$9)+IF(MOD(INT(F228*'Price rules'!$B$5),'Price rules'!$B$9)&lt;'Price rules'!$B$10,0,'Price rules'!$B$9))</x:f>
        <x:v>2380</x:v>
      </x:c>
      <x:c r="H228" s="30" t="n">
        <x:f>IF(F228="","",FLOOR(INT(F228*'Price rules'!$B$7),'Price rules'!$B$9)+IF(MOD(INT(F228*'Price rules'!$B$7),'Price rules'!$B$9)&lt;'Price rules'!$B$10,0,'Price rules'!$B$9))</x:f>
        <x:v>3025</x:v>
      </x:c>
      <x:c r="I228" s="30" t="n">
        <x:f>IF(F228="","",FLOOR(INT(F228*'Price rules'!$B$8),'Price rules'!$B$9)+IF(MOD(INT(F228*'Price rules'!$B$8),'Price rules'!$B$9)&lt;'Price rules'!$B$10,0,'Price rules'!$B$9))</x:f>
        <x:v>3360</x:v>
      </x:c>
      <x:c r="J228" s="30" t="n">
        <x:f>IF(N228="conditional","",SUMIFS($F$5:$F$394,$A$5:$A$394,A228,$C$5:$C$394,C228,$D$5:$D$394,"&lt;="&amp;D228)+SUMIF(Towers!$A$5:$A$30,A228,Towers!$E$5:$E$30))</x:f>
        <x:v>5150</x:v>
      </x:c>
      <x:c r="K228" s="30"/>
      <x:c r="L228" s="25" t="str">
        <x:v>summoner</x:v>
      </x:c>
      <x:c r="M228" s="25" t="str">
        <x:v>Uses recent pops to summon friendly Bloons that travel along the track and damage enemies.</x:v>
      </x:c>
      <x:c r="N228" s="25" t="str">
        <x:v>fixed_upgrade_price</x:v>
      </x:c>
      <x:c r="O228" s="30" t="n">
        <x:v>2800</x:v>
      </x:c>
      <x:c r="P228" s="25" t="str">
        <x:v>https://raw.githubusercontent.com/Btd6ModHelper/btd6-game-data/main/Towers/WizardMonkey/WizardMonkey-004.json</x:v>
      </x:c>
      <x:c r="Q228" s="25" t="str">
        <x:v>https://raw.githubusercontent.com/hemisemidemipresent/cyberquincy/master/jsons/costs.json</x:v>
      </x:c>
      <x:c r="R228" s="25" t="str">
        <x:v>https://raw.githubusercontent.com/Btd6ModHelper/btd6-game-data/main/textTable.json</x:v>
      </x:c>
      <x:c r="S228" s="25"/>
      <x:c r="T228" s="25"/>
    </x:row>
    <x:row r="229" ht="64" customHeight="1">
      <x:c r="A229" s="25" t="str">
        <x:v>Wizard Monkey</x:v>
      </x:c>
      <x:c r="B229" s="80" t="str">
        <x:v>005</x:v>
      </x:c>
      <x:c r="C229" s="25" t="str">
        <x:v>bottom</x:v>
      </x:c>
      <x:c r="D229" s="25" t="n">
        <x:v>5</x:v>
      </x:c>
      <x:c r="E229" s="25" t="str">
        <x:v>Prince of Darkness</x:v>
      </x:c>
      <x:c r="F229" s="30" t="n">
        <x:v>26500</x:v>
      </x:c>
      <x:c r="G229" s="30" t="n">
        <x:f>IF(F229="","",FLOOR(INT(F229*'Price rules'!$B$5),'Price rules'!$B$9)+IF(MOD(INT(F229*'Price rules'!$B$5),'Price rules'!$B$9)&lt;'Price rules'!$B$10,0,'Price rules'!$B$9))</x:f>
        <x:v>22525</x:v>
      </x:c>
      <x:c r="H229" s="30" t="n">
        <x:f>IF(F229="","",FLOOR(INT(F229*'Price rules'!$B$7),'Price rules'!$B$9)+IF(MOD(INT(F229*'Price rules'!$B$7),'Price rules'!$B$9)&lt;'Price rules'!$B$10,0,'Price rules'!$B$9))</x:f>
        <x:v>28620</x:v>
      </x:c>
      <x:c r="I229" s="30" t="n">
        <x:f>IF(F229="","",FLOOR(INT(F229*'Price rules'!$B$8),'Price rules'!$B$9)+IF(MOD(INT(F229*'Price rules'!$B$8),'Price rules'!$B$9)&lt;'Price rules'!$B$10,0,'Price rules'!$B$9))</x:f>
        <x:v>31800</x:v>
      </x:c>
      <x:c r="J229" s="30" t="n">
        <x:f>IF(N229="conditional","",SUMIFS($F$5:$F$394,$A$5:$A$394,A229,$C$5:$C$394,C229,$D$5:$D$394,"&lt;="&amp;D229)+SUMIF(Towers!$A$5:$A$30,A229,Towers!$E$5:$E$30))</x:f>
        <x:v>31650</x:v>
      </x:c>
      <x:c r="K229" s="30"/>
      <x:c r="L229" s="25" t="str">
        <x:v>summoner</x:v>
      </x:c>
      <x:c r="M229" s="25" t="str">
        <x:v>Strengthens summoned Bloons and improves nearby Necromancers.</x:v>
      </x:c>
      <x:c r="N229" s="25" t="str">
        <x:v>fixed_upgrade_price</x:v>
      </x:c>
      <x:c r="O229" s="30" t="n">
        <x:v>26500</x:v>
      </x:c>
      <x:c r="P229" s="25" t="str">
        <x:v>https://raw.githubusercontent.com/Btd6ModHelper/btd6-game-data/main/Towers/WizardMonkey/WizardMonkey-005.json</x:v>
      </x:c>
      <x:c r="Q229" s="25" t="str">
        <x:v>https://raw.githubusercontent.com/hemisemidemipresent/cyberquincy/master/jsons/costs.json</x:v>
      </x:c>
      <x:c r="R229" s="25" t="str">
        <x:v>https://raw.githubusercontent.com/Btd6ModHelper/btd6-game-data/main/textTable.json</x:v>
      </x:c>
      <x:c r="S229" s="25"/>
      <x:c r="T229" s="25"/>
    </x:row>
    <x:row r="230" ht="64" customHeight="1">
      <x:c r="A230" s="25" t="str">
        <x:v>Super Monkey</x:v>
      </x:c>
      <x:c r="B230" s="80" t="str">
        <x:v>100</x:v>
      </x:c>
      <x:c r="C230" s="25" t="str">
        <x:v>top</x:v>
      </x:c>
      <x:c r="D230" s="25" t="n">
        <x:v>1</x:v>
      </x:c>
      <x:c r="E230" s="25" t="str">
        <x:v>Laser Blasts</x:v>
      </x:c>
      <x:c r="F230" s="30" t="n">
        <x:v>2000</x:v>
      </x:c>
      <x:c r="G230" s="30" t="n">
        <x:f>IF(F230="","",FLOOR(INT(F230*'Price rules'!$B$5),'Price rules'!$B$9)+IF(MOD(INT(F230*'Price rules'!$B$5),'Price rules'!$B$9)&lt;'Price rules'!$B$10,0,'Price rules'!$B$9))</x:f>
        <x:v>1700</x:v>
      </x:c>
      <x:c r="H230" s="30" t="n">
        <x:f>IF(F230="","",FLOOR(INT(F230*'Price rules'!$B$7),'Price rules'!$B$9)+IF(MOD(INT(F230*'Price rules'!$B$7),'Price rules'!$B$9)&lt;'Price rules'!$B$10,0,'Price rules'!$B$9))</x:f>
        <x:v>2160</x:v>
      </x:c>
      <x:c r="I230" s="30" t="n">
        <x:f>IF(F230="","",FLOOR(INT(F230*'Price rules'!$B$8),'Price rules'!$B$9)+IF(MOD(INT(F230*'Price rules'!$B$8),'Price rules'!$B$9)&lt;'Price rules'!$B$10,0,'Price rules'!$B$9))</x:f>
        <x:v>2400</x:v>
      </x:c>
      <x:c r="J230" s="30" t="n">
        <x:f>IF(N230="conditional","",SUMIFS($F$5:$F$394,$A$5:$A$394,A230,$C$5:$C$394,C230,$D$5:$D$394,"&lt;="&amp;D230)+SUMIF(Towers!$A$5:$A$30,A230,Towers!$E$5:$E$30))</x:f>
        <x:v>4500</x:v>
      </x:c>
      <x:c r="K230" s="30"/>
      <x:c r="L230" s="25" t="str">
        <x:v>rapid_fire</x:v>
      </x:c>
      <x:c r="M230" s="25" t="str">
        <x:v>Replaces darts with laser attacks.</x:v>
      </x:c>
      <x:c r="N230" s="25" t="str">
        <x:v>fixed_upgrade_price</x:v>
      </x:c>
      <x:c r="O230" s="30" t="n">
        <x:v>2000</x:v>
      </x:c>
      <x:c r="P230" s="25" t="str">
        <x:v>https://raw.githubusercontent.com/Btd6ModHelper/btd6-game-data/main/Towers/SuperMonkey/SuperMonkey-100.json</x:v>
      </x:c>
      <x:c r="Q230" s="25" t="str">
        <x:v>https://raw.githubusercontent.com/hemisemidemipresent/cyberquincy/master/jsons/costs.json</x:v>
      </x:c>
      <x:c r="R230" s="25" t="str">
        <x:v>https://raw.githubusercontent.com/Btd6ModHelper/btd6-game-data/main/textTable.json</x:v>
      </x:c>
      <x:c r="S230" s="25"/>
      <x:c r="T230" s="25"/>
    </x:row>
    <x:row r="231" ht="64" customHeight="1">
      <x:c r="A231" s="25" t="str">
        <x:v>Super Monkey</x:v>
      </x:c>
      <x:c r="B231" s="80" t="str">
        <x:v>200</x:v>
      </x:c>
      <x:c r="C231" s="25" t="str">
        <x:v>top</x:v>
      </x:c>
      <x:c r="D231" s="25" t="n">
        <x:v>2</x:v>
      </x:c>
      <x:c r="E231" s="25" t="str">
        <x:v>Plasma Blasts</x:v>
      </x:c>
      <x:c r="F231" s="30" t="n">
        <x:v>2500</x:v>
      </x:c>
      <x:c r="G231" s="30" t="n">
        <x:f>IF(F231="","",FLOOR(INT(F231*'Price rules'!$B$5),'Price rules'!$B$9)+IF(MOD(INT(F231*'Price rules'!$B$5),'Price rules'!$B$9)&lt;'Price rules'!$B$10,0,'Price rules'!$B$9))</x:f>
        <x:v>2125</x:v>
      </x:c>
      <x:c r="H231" s="30" t="n">
        <x:f>IF(F231="","",FLOOR(INT(F231*'Price rules'!$B$7),'Price rules'!$B$9)+IF(MOD(INT(F231*'Price rules'!$B$7),'Price rules'!$B$9)&lt;'Price rules'!$B$10,0,'Price rules'!$B$9))</x:f>
        <x:v>2700</x:v>
      </x:c>
      <x:c r="I231" s="30" t="n">
        <x:f>IF(F231="","",FLOOR(INT(F231*'Price rules'!$B$8),'Price rules'!$B$9)+IF(MOD(INT(F231*'Price rules'!$B$8),'Price rules'!$B$9)&lt;'Price rules'!$B$10,0,'Price rules'!$B$9))</x:f>
        <x:v>3000</x:v>
      </x:c>
      <x:c r="J231" s="30" t="n">
        <x:f>IF(N231="conditional","",SUMIFS($F$5:$F$394,$A$5:$A$394,A231,$C$5:$C$394,C231,$D$5:$D$394,"&lt;="&amp;D231)+SUMIF(Towers!$A$5:$A$30,A231,Towers!$E$5:$E$30))</x:f>
        <x:v>7000</x:v>
      </x:c>
      <x:c r="K231" s="30"/>
      <x:c r="L231" s="25" t="str">
        <x:v>rapid_fire</x:v>
      </x:c>
      <x:c r="M231" s="25" t="str">
        <x:v>Replaces lasers with stronger plasma attacks.</x:v>
      </x:c>
      <x:c r="N231" s="25" t="str">
        <x:v>fixed_upgrade_price</x:v>
      </x:c>
      <x:c r="O231" s="30" t="n">
        <x:v>2500</x:v>
      </x:c>
      <x:c r="P231" s="25" t="str">
        <x:v>https://raw.githubusercontent.com/Btd6ModHelper/btd6-game-data/main/Towers/SuperMonkey/SuperMonkey-200.json</x:v>
      </x:c>
      <x:c r="Q231" s="25" t="str">
        <x:v>https://raw.githubusercontent.com/hemisemidemipresent/cyberquincy/master/jsons/costs.json</x:v>
      </x:c>
      <x:c r="R231" s="25" t="str">
        <x:v>https://raw.githubusercontent.com/Btd6ModHelper/btd6-game-data/main/textTable.json</x:v>
      </x:c>
      <x:c r="S231" s="25"/>
      <x:c r="T231" s="25"/>
    </x:row>
    <x:row r="232" ht="64" customHeight="1">
      <x:c r="A232" s="25" t="str">
        <x:v>Super Monkey</x:v>
      </x:c>
      <x:c r="B232" s="80" t="str">
        <x:v>300</x:v>
      </x:c>
      <x:c r="C232" s="25" t="str">
        <x:v>top</x:v>
      </x:c>
      <x:c r="D232" s="25" t="n">
        <x:v>3</x:v>
      </x:c>
      <x:c r="E232" s="25" t="str">
        <x:v>Sun Avatar</x:v>
      </x:c>
      <x:c r="F232" s="30" t="n">
        <x:v>20000</x:v>
      </x:c>
      <x:c r="G232" s="30" t="n">
        <x:f>IF(F232="","",FLOOR(INT(F232*'Price rules'!$B$5),'Price rules'!$B$9)+IF(MOD(INT(F232*'Price rules'!$B$5),'Price rules'!$B$9)&lt;'Price rules'!$B$10,0,'Price rules'!$B$9))</x:f>
        <x:v>17000</x:v>
      </x:c>
      <x:c r="H232" s="30" t="n">
        <x:f>IF(F232="","",FLOOR(INT(F232*'Price rules'!$B$7),'Price rules'!$B$9)+IF(MOD(INT(F232*'Price rules'!$B$7),'Price rules'!$B$9)&lt;'Price rules'!$B$10,0,'Price rules'!$B$9))</x:f>
        <x:v>21600</x:v>
      </x:c>
      <x:c r="I232" s="30" t="n">
        <x:f>IF(F232="","",FLOOR(INT(F232*'Price rules'!$B$8),'Price rules'!$B$9)+IF(MOD(INT(F232*'Price rules'!$B$8),'Price rules'!$B$9)&lt;'Price rules'!$B$10,0,'Price rules'!$B$9))</x:f>
        <x:v>24000</x:v>
      </x:c>
      <x:c r="J232" s="30" t="n">
        <x:f>IF(N232="conditional","",SUMIFS($F$5:$F$394,$A$5:$A$394,A232,$C$5:$C$394,C232,$D$5:$D$394,"&lt;="&amp;D232)+SUMIF(Towers!$A$5:$A$30,A232,Towers!$E$5:$E$30))</x:f>
        <x:v>27000</x:v>
      </x:c>
      <x:c r="K232" s="30"/>
      <x:c r="L232" s="25" t="str">
        <x:v>rapid_fire</x:v>
      </x:c>
      <x:c r="M232" s="25" t="str">
        <x:v>Fires several streams of high-volume energy projectiles.</x:v>
      </x:c>
      <x:c r="N232" s="25" t="str">
        <x:v>fixed_upgrade_price</x:v>
      </x:c>
      <x:c r="O232" s="30" t="n">
        <x:v>20000</x:v>
      </x:c>
      <x:c r="P232" s="25" t="str">
        <x:v>https://raw.githubusercontent.com/Btd6ModHelper/btd6-game-data/main/Towers/SuperMonkey/SuperMonkey-300.json</x:v>
      </x:c>
      <x:c r="Q232" s="25" t="str">
        <x:v>https://raw.githubusercontent.com/hemisemidemipresent/cyberquincy/master/jsons/costs.json</x:v>
      </x:c>
      <x:c r="R232" s="25" t="str">
        <x:v>https://raw.githubusercontent.com/Btd6ModHelper/btd6-game-data/main/textTable.json</x:v>
      </x:c>
      <x:c r="S232" s="25"/>
      <x:c r="T232" s="25"/>
    </x:row>
    <x:row r="233" ht="64" customHeight="1">
      <x:c r="A233" s="25" t="str">
        <x:v>Super Monkey</x:v>
      </x:c>
      <x:c r="B233" s="80" t="str">
        <x:v>400</x:v>
      </x:c>
      <x:c r="C233" s="25" t="str">
        <x:v>top</x:v>
      </x:c>
      <x:c r="D233" s="25" t="n">
        <x:v>4</x:v>
      </x:c>
      <x:c r="E233" s="25" t="str">
        <x:v>Sun Temple</x:v>
      </x:c>
      <x:c r="F233" s="30" t="n">
        <x:v>100000</x:v>
      </x:c>
      <x:c r="G233" s="30" t="n">
        <x:f>IF(F233="","",FLOOR(INT(F233*'Price rules'!$B$5),'Price rules'!$B$9)+IF(MOD(INT(F233*'Price rules'!$B$5),'Price rules'!$B$9)&lt;'Price rules'!$B$10,0,'Price rules'!$B$9))</x:f>
        <x:v>85000</x:v>
      </x:c>
      <x:c r="H233" s="30" t="n">
        <x:f>IF(F233="","",FLOOR(INT(F233*'Price rules'!$B$7),'Price rules'!$B$9)+IF(MOD(INT(F233*'Price rules'!$B$7),'Price rules'!$B$9)&lt;'Price rules'!$B$10,0,'Price rules'!$B$9))</x:f>
        <x:v>108000</x:v>
      </x:c>
      <x:c r="I233" s="30" t="n">
        <x:f>IF(F233="","",FLOOR(INT(F233*'Price rules'!$B$8),'Price rules'!$B$9)+IF(MOD(INT(F233*'Price rules'!$B$8),'Price rules'!$B$9)&lt;'Price rules'!$B$10,0,'Price rules'!$B$9))</x:f>
        <x:v>120000</x:v>
      </x:c>
      <x:c r="J233" s="30" t="n">
        <x:f>IF(N233="conditional","",SUMIFS($F$5:$F$394,$A$5:$A$394,A233,$C$5:$C$394,C233,$D$5:$D$394,"&lt;="&amp;D233)+SUMIF(Towers!$A$5:$A$30,A233,Towers!$E$5:$E$30))</x:f>
        <x:v>127000</x:v>
      </x:c>
      <x:c r="K233" s="30"/>
      <x:c r="L233" s="25" t="str">
        <x:v>rapid_fire</x:v>
      </x:c>
      <x:c r="M233" s="25" t="str">
        <x:v>Consumes nearby towers when purchased; its additional attacks and support depend on sacrifices.</x:v>
      </x:c>
      <x:c r="N233" s="25" t="str">
        <x:v>fixed_upgrade_price</x:v>
      </x:c>
      <x:c r="O233" s="30" t="n">
        <x:v>100000</x:v>
      </x:c>
      <x:c r="P233" s="25" t="str">
        <x:v>https://raw.githubusercontent.com/Btd6ModHelper/btd6-game-data/main/Towers/SuperMonkey/SuperMonkey-400.json</x:v>
      </x:c>
      <x:c r="Q233" s="25" t="str">
        <x:v>https://raw.githubusercontent.com/hemisemidemipresent/cyberquincy/master/jsons/costs.json</x:v>
      </x:c>
      <x:c r="R233" s="25" t="str">
        <x:v>https://raw.githubusercontent.com/Btd6ModHelper/btd6-game-data/main/textTable.json</x:v>
      </x:c>
      <x:c r="S233" s="25"/>
      <x:c r="T233" s="25"/>
    </x:row>
    <x:row r="234" ht="64" customHeight="1">
      <x:c r="A234" s="25" t="str">
        <x:v>Super Monkey</x:v>
      </x:c>
      <x:c r="B234" s="80" t="str">
        <x:v>500</x:v>
      </x:c>
      <x:c r="C234" s="25" t="str">
        <x:v>top</x:v>
      </x:c>
      <x:c r="D234" s="25" t="n">
        <x:v>5</x:v>
      </x:c>
      <x:c r="E234" s="25" t="str">
        <x:v>True Sun God</x:v>
      </x:c>
      <x:c r="F234" s="30" t="n">
        <x:v>500000</x:v>
      </x:c>
      <x:c r="G234" s="30" t="n">
        <x:f>IF(F234="","",FLOOR(INT(F234*'Price rules'!$B$5),'Price rules'!$B$9)+IF(MOD(INT(F234*'Price rules'!$B$5),'Price rules'!$B$9)&lt;'Price rules'!$B$10,0,'Price rules'!$B$9))</x:f>
        <x:v>425000</x:v>
      </x:c>
      <x:c r="H234" s="30" t="n">
        <x:f>IF(F234="","",FLOOR(INT(F234*'Price rules'!$B$7),'Price rules'!$B$9)+IF(MOD(INT(F234*'Price rules'!$B$7),'Price rules'!$B$9)&lt;'Price rules'!$B$10,0,'Price rules'!$B$9))</x:f>
        <x:v>540000</x:v>
      </x:c>
      <x:c r="I234" s="30" t="n">
        <x:f>IF(F234="","",FLOOR(INT(F234*'Price rules'!$B$8),'Price rules'!$B$9)+IF(MOD(INT(F234*'Price rules'!$B$8),'Price rules'!$B$9)&lt;'Price rules'!$B$10,0,'Price rules'!$B$9))</x:f>
        <x:v>600000</x:v>
      </x:c>
      <x:c r="J234" s="30" t="n">
        <x:f>IF(N234="conditional","",SUMIFS($F$5:$F$394,$A$5:$A$394,A234,$C$5:$C$394,C234,$D$5:$D$394,"&lt;="&amp;D234)+SUMIF(Towers!$A$5:$A$30,A234,Towers!$E$5:$E$30))</x:f>
        <x:v>627000</x:v>
      </x:c>
      <x:c r="K234" s="30"/>
      <x:c r="L234" s="25" t="str">
        <x:v>rapid_fire</x:v>
      </x:c>
      <x:c r="M234" s="25" t="str">
        <x:v>Adds another sacrifice stage and much stronger attacks; total cost depends on the sacrificed towers.</x:v>
      </x:c>
      <x:c r="N234" s="25" t="str">
        <x:v>fixed_upgrade_price</x:v>
      </x:c>
      <x:c r="O234" s="30" t="n">
        <x:v>500000</x:v>
      </x:c>
      <x:c r="P234" s="25" t="str">
        <x:v>https://raw.githubusercontent.com/Btd6ModHelper/btd6-game-data/main/Towers/SuperMonkey/SuperMonkey-500.json</x:v>
      </x:c>
      <x:c r="Q234" s="25" t="str">
        <x:v>https://raw.githubusercontent.com/hemisemidemipresent/cyberquincy/master/jsons/costs.json</x:v>
      </x:c>
      <x:c r="R234" s="25" t="str">
        <x:v>https://raw.githubusercontent.com/Btd6ModHelper/btd6-game-data/main/textTable.json</x:v>
      </x:c>
      <x:c r="S234" s="25"/>
      <x:c r="T234" s="25"/>
    </x:row>
    <x:row r="235" ht="64" customHeight="1">
      <x:c r="A235" s="25" t="str">
        <x:v>Super Monkey</x:v>
      </x:c>
      <x:c r="B235" s="80" t="str">
        <x:v>010</x:v>
      </x:c>
      <x:c r="C235" s="25" t="str">
        <x:v>middle</x:v>
      </x:c>
      <x:c r="D235" s="25" t="n">
        <x:v>1</x:v>
      </x:c>
      <x:c r="E235" s="25" t="str">
        <x:v>Super Range</x:v>
      </x:c>
      <x:c r="F235" s="30" t="n">
        <x:v>1500</x:v>
      </x:c>
      <x:c r="G235" s="30" t="n">
        <x:f>IF(F235="","",FLOOR(INT(F235*'Price rules'!$B$5),'Price rules'!$B$9)+IF(MOD(INT(F235*'Price rules'!$B$5),'Price rules'!$B$9)&lt;'Price rules'!$B$10,0,'Price rules'!$B$9))</x:f>
        <x:v>1275</x:v>
      </x:c>
      <x:c r="H235" s="30" t="n">
        <x:f>IF(F235="","",FLOOR(INT(F235*'Price rules'!$B$7),'Price rules'!$B$9)+IF(MOD(INT(F235*'Price rules'!$B$7),'Price rules'!$B$9)&lt;'Price rules'!$B$10,0,'Price rules'!$B$9))</x:f>
        <x:v>1620</x:v>
      </x:c>
      <x:c r="I235" s="30" t="n">
        <x:f>IF(F235="","",FLOOR(INT(F235*'Price rules'!$B$8),'Price rules'!$B$9)+IF(MOD(INT(F235*'Price rules'!$B$8),'Price rules'!$B$9)&lt;'Price rules'!$B$10,0,'Price rules'!$B$9))</x:f>
        <x:v>1800</x:v>
      </x:c>
      <x:c r="J235" s="30" t="n">
        <x:f>IF(N235="conditional","",SUMIFS($F$5:$F$394,$A$5:$A$394,A235,$C$5:$C$394,C235,$D$5:$D$394,"&lt;="&amp;D235)+SUMIF(Towers!$A$5:$A$30,A235,Towers!$E$5:$E$30))</x:f>
        <x:v>4000</x:v>
      </x:c>
      <x:c r="K235" s="30"/>
      <x:c r="L235" s="25" t="str">
        <x:v>rapid_fire</x:v>
      </x:c>
      <x:c r="M235" s="25" t="str">
        <x:v>Increases attack range.</x:v>
      </x:c>
      <x:c r="N235" s="25" t="str">
        <x:v>fixed_upgrade_price</x:v>
      </x:c>
      <x:c r="O235" s="30" t="n">
        <x:v>1500</x:v>
      </x:c>
      <x:c r="P235" s="25" t="str">
        <x:v>https://raw.githubusercontent.com/Btd6ModHelper/btd6-game-data/main/Towers/SuperMonkey/SuperMonkey-010.json</x:v>
      </x:c>
      <x:c r="Q235" s="25" t="str">
        <x:v>https://raw.githubusercontent.com/hemisemidemipresent/cyberquincy/master/jsons/costs.json</x:v>
      </x:c>
      <x:c r="R235" s="25" t="str">
        <x:v>https://raw.githubusercontent.com/Btd6ModHelper/btd6-game-data/main/textTable.json</x:v>
      </x:c>
      <x:c r="S235" s="25"/>
      <x:c r="T235" s="25"/>
    </x:row>
    <x:row r="236" ht="64" customHeight="1">
      <x:c r="A236" s="25" t="str">
        <x:v>Super Monkey</x:v>
      </x:c>
      <x:c r="B236" s="80" t="str">
        <x:v>020</x:v>
      </x:c>
      <x:c r="C236" s="25" t="str">
        <x:v>middle</x:v>
      </x:c>
      <x:c r="D236" s="25" t="n">
        <x:v>2</x:v>
      </x:c>
      <x:c r="E236" s="25" t="str">
        <x:v>Epic Range</x:v>
      </x:c>
      <x:c r="F236" s="30" t="n">
        <x:v>1900</x:v>
      </x:c>
      <x:c r="G236" s="30" t="n">
        <x:f>IF(F236="","",FLOOR(INT(F236*'Price rules'!$B$5),'Price rules'!$B$9)+IF(MOD(INT(F236*'Price rules'!$B$5),'Price rules'!$B$9)&lt;'Price rules'!$B$10,0,'Price rules'!$B$9))</x:f>
        <x:v>1615</x:v>
      </x:c>
      <x:c r="H236" s="30" t="n">
        <x:f>IF(F236="","",FLOOR(INT(F236*'Price rules'!$B$7),'Price rules'!$B$9)+IF(MOD(INT(F236*'Price rules'!$B$7),'Price rules'!$B$9)&lt;'Price rules'!$B$10,0,'Price rules'!$B$9))</x:f>
        <x:v>2050</x:v>
      </x:c>
      <x:c r="I236" s="30" t="n">
        <x:f>IF(F236="","",FLOOR(INT(F236*'Price rules'!$B$8),'Price rules'!$B$9)+IF(MOD(INT(F236*'Price rules'!$B$8),'Price rules'!$B$9)&lt;'Price rules'!$B$10,0,'Price rules'!$B$9))</x:f>
        <x:v>2280</x:v>
      </x:c>
      <x:c r="J236" s="30" t="n">
        <x:f>IF(N236="conditional","",SUMIFS($F$5:$F$394,$A$5:$A$394,A236,$C$5:$C$394,C236,$D$5:$D$394,"&lt;="&amp;D236)+SUMIF(Towers!$A$5:$A$30,A236,Towers!$E$5:$E$30))</x:f>
        <x:v>5900</x:v>
      </x:c>
      <x:c r="K236" s="30"/>
      <x:c r="L236" s="25" t="str">
        <x:v>rapid_fire</x:v>
      </x:c>
      <x:c r="M236" s="25" t="str">
        <x:v>Further increases attack range.</x:v>
      </x:c>
      <x:c r="N236" s="25" t="str">
        <x:v>fixed_upgrade_price</x:v>
      </x:c>
      <x:c r="O236" s="30" t="n">
        <x:v>1900</x:v>
      </x:c>
      <x:c r="P236" s="25" t="str">
        <x:v>https://raw.githubusercontent.com/Btd6ModHelper/btd6-game-data/main/Towers/SuperMonkey/SuperMonkey-020.json</x:v>
      </x:c>
      <x:c r="Q236" s="25" t="str">
        <x:v>https://raw.githubusercontent.com/hemisemidemipresent/cyberquincy/master/jsons/costs.json</x:v>
      </x:c>
      <x:c r="R236" s="25" t="str">
        <x:v>https://raw.githubusercontent.com/Btd6ModHelper/btd6-game-data/main/textTable.json</x:v>
      </x:c>
      <x:c r="S236" s="25"/>
      <x:c r="T236" s="25"/>
    </x:row>
    <x:row r="237" ht="64" customHeight="1">
      <x:c r="A237" s="25" t="str">
        <x:v>Super Monkey</x:v>
      </x:c>
      <x:c r="B237" s="80" t="str">
        <x:v>030</x:v>
      </x:c>
      <x:c r="C237" s="25" t="str">
        <x:v>middle</x:v>
      </x:c>
      <x:c r="D237" s="25" t="n">
        <x:v>3</x:v>
      </x:c>
      <x:c r="E237" s="25" t="str">
        <x:v>Robo Monkey</x:v>
      </x:c>
      <x:c r="F237" s="30" t="n">
        <x:v>7500</x:v>
      </x:c>
      <x:c r="G237" s="30" t="n">
        <x:f>IF(F237="","",FLOOR(INT(F237*'Price rules'!$B$5),'Price rules'!$B$9)+IF(MOD(INT(F237*'Price rules'!$B$5),'Price rules'!$B$9)&lt;'Price rules'!$B$10,0,'Price rules'!$B$9))</x:f>
        <x:v>6375</x:v>
      </x:c>
      <x:c r="H237" s="30" t="n">
        <x:f>IF(F237="","",FLOOR(INT(F237*'Price rules'!$B$7),'Price rules'!$B$9)+IF(MOD(INT(F237*'Price rules'!$B$7),'Price rules'!$B$9)&lt;'Price rules'!$B$10,0,'Price rules'!$B$9))</x:f>
        <x:v>8100</x:v>
      </x:c>
      <x:c r="I237" s="30" t="n">
        <x:f>IF(F237="","",FLOOR(INT(F237*'Price rules'!$B$8),'Price rules'!$B$9)+IF(MOD(INT(F237*'Price rules'!$B$8),'Price rules'!$B$9)&lt;'Price rules'!$B$10,0,'Price rules'!$B$9))</x:f>
        <x:v>9000</x:v>
      </x:c>
      <x:c r="J237" s="30" t="n">
        <x:f>IF(N237="conditional","",SUMIFS($F$5:$F$394,$A$5:$A$394,A237,$C$5:$C$394,C237,$D$5:$D$394,"&lt;="&amp;D237)+SUMIF(Towers!$A$5:$A$30,A237,Towers!$E$5:$E$30))</x:f>
        <x:v>13400</x:v>
      </x:c>
      <x:c r="K237" s="30"/>
      <x:c r="L237" s="25" t="str">
        <x:v>rapid_fire</x:v>
      </x:c>
      <x:c r="M237" s="25" t="str">
        <x:v>Adds a second independently targeted gun and periodic critical hits.</x:v>
      </x:c>
      <x:c r="N237" s="25" t="str">
        <x:v>fixed_upgrade_price</x:v>
      </x:c>
      <x:c r="O237" s="30" t="n">
        <x:v>7500</x:v>
      </x:c>
      <x:c r="P237" s="25" t="str">
        <x:v>https://raw.githubusercontent.com/Btd6ModHelper/btd6-game-data/main/Towers/SuperMonkey/SuperMonkey-030.json</x:v>
      </x:c>
      <x:c r="Q237" s="25" t="str">
        <x:v>https://raw.githubusercontent.com/hemisemidemipresent/cyberquincy/master/jsons/costs.json</x:v>
      </x:c>
      <x:c r="R237" s="25" t="str">
        <x:v>https://raw.githubusercontent.com/Btd6ModHelper/btd6-game-data/main/textTable.json</x:v>
      </x:c>
      <x:c r="S237" s="25"/>
      <x:c r="T237" s="25"/>
    </x:row>
    <x:row r="238" ht="64" customHeight="1">
      <x:c r="A238" s="25" t="str">
        <x:v>Super Monkey</x:v>
      </x:c>
      <x:c r="B238" s="80" t="str">
        <x:v>040</x:v>
      </x:c>
      <x:c r="C238" s="25" t="str">
        <x:v>middle</x:v>
      </x:c>
      <x:c r="D238" s="25" t="n">
        <x:v>4</x:v>
      </x:c>
      <x:c r="E238" s="25" t="str">
        <x:v>Tech Terror</x:v>
      </x:c>
      <x:c r="F238" s="30" t="n">
        <x:v>25000</x:v>
      </x:c>
      <x:c r="G238" s="30" t="n">
        <x:f>IF(F238="","",FLOOR(INT(F238*'Price rules'!$B$5),'Price rules'!$B$9)+IF(MOD(INT(F238*'Price rules'!$B$5),'Price rules'!$B$9)&lt;'Price rules'!$B$10,0,'Price rules'!$B$9))</x:f>
        <x:v>21250</x:v>
      </x:c>
      <x:c r="H238" s="30" t="n">
        <x:f>IF(F238="","",FLOOR(INT(F238*'Price rules'!$B$7),'Price rules'!$B$9)+IF(MOD(INT(F238*'Price rules'!$B$7),'Price rules'!$B$9)&lt;'Price rules'!$B$10,0,'Price rules'!$B$9))</x:f>
        <x:v>27000</x:v>
      </x:c>
      <x:c r="I238" s="30" t="n">
        <x:f>IF(F238="","",FLOOR(INT(F238*'Price rules'!$B$8),'Price rules'!$B$9)+IF(MOD(INT(F238*'Price rules'!$B$8),'Price rules'!$B$9)&lt;'Price rules'!$B$10,0,'Price rules'!$B$9))</x:f>
        <x:v>30000</x:v>
      </x:c>
      <x:c r="J238" s="30" t="n">
        <x:f>IF(N238="conditional","",SUMIFS($F$5:$F$394,$A$5:$A$394,A238,$C$5:$C$394,C238,$D$5:$D$394,"&lt;="&amp;D238)+SUMIF(Towers!$A$5:$A$30,A238,Towers!$E$5:$E$30))</x:f>
        <x:v>38400</x:v>
      </x:c>
      <x:c r="K238" s="30"/>
      <x:c r="L238" s="25" t="str">
        <x:v>splash</x:v>
      </x:c>
      <x:c r="M238" s="25" t="str">
        <x:v>Improves the dual weapons and adds an area-damage Annihilation ability.</x:v>
      </x:c>
      <x:c r="N238" s="25" t="str">
        <x:v>fixed_upgrade_price</x:v>
      </x:c>
      <x:c r="O238" s="30" t="n">
        <x:v>25000</x:v>
      </x:c>
      <x:c r="P238" s="25" t="str">
        <x:v>https://raw.githubusercontent.com/Btd6ModHelper/btd6-game-data/main/Towers/SuperMonkey/SuperMonkey-040.json</x:v>
      </x:c>
      <x:c r="Q238" s="25" t="str">
        <x:v>https://raw.githubusercontent.com/hemisemidemipresent/cyberquincy/master/jsons/costs.json</x:v>
      </x:c>
      <x:c r="R238" s="25" t="str">
        <x:v>https://raw.githubusercontent.com/Btd6ModHelper/btd6-game-data/main/textTable.json</x:v>
      </x:c>
      <x:c r="S238" s="25"/>
      <x:c r="T238" s="25"/>
    </x:row>
    <x:row r="239" ht="64" customHeight="1">
      <x:c r="A239" s="25" t="str">
        <x:v>Super Monkey</x:v>
      </x:c>
      <x:c r="B239" s="80" t="str">
        <x:v>050</x:v>
      </x:c>
      <x:c r="C239" s="25" t="str">
        <x:v>middle</x:v>
      </x:c>
      <x:c r="D239" s="25" t="n">
        <x:v>5</x:v>
      </x:c>
      <x:c r="E239" s="25" t="str">
        <x:v>The Anti-Bloon</x:v>
      </x:c>
      <x:c r="F239" s="30" t="n">
        <x:v>70000</x:v>
      </x:c>
      <x:c r="G239" s="30" t="n">
        <x:f>IF(F239="","",FLOOR(INT(F239*'Price rules'!$B$5),'Price rules'!$B$9)+IF(MOD(INT(F239*'Price rules'!$B$5),'Price rules'!$B$9)&lt;'Price rules'!$B$10,0,'Price rules'!$B$9))</x:f>
        <x:v>59500</x:v>
      </x:c>
      <x:c r="H239" s="30" t="n">
        <x:f>IF(F239="","",FLOOR(INT(F239*'Price rules'!$B$7),'Price rules'!$B$9)+IF(MOD(INT(F239*'Price rules'!$B$7),'Price rules'!$B$9)&lt;'Price rules'!$B$10,0,'Price rules'!$B$9))</x:f>
        <x:v>75600</x:v>
      </x:c>
      <x:c r="I239" s="30" t="n">
        <x:f>IF(F239="","",FLOOR(INT(F239*'Price rules'!$B$8),'Price rules'!$B$9)+IF(MOD(INT(F239*'Price rules'!$B$8),'Price rules'!$B$9)&lt;'Price rules'!$B$10,0,'Price rules'!$B$9))</x:f>
        <x:v>84000</x:v>
      </x:c>
      <x:c r="J239" s="30" t="n">
        <x:f>IF(N239="conditional","",SUMIFS($F$5:$F$394,$A$5:$A$394,A239,$C$5:$C$394,C239,$D$5:$D$394,"&lt;="&amp;D239)+SUMIF(Towers!$A$5:$A$30,A239,Towers!$E$5:$E$30))</x:f>
        <x:v>108400</x:v>
      </x:c>
      <x:c r="K239" s="30"/>
      <x:c r="L239" s="25" t="str">
        <x:v>splash</x:v>
      </x:c>
      <x:c r="M239" s="25" t="str">
        <x:v>Greatly increases regular attacks and the Annihilation ability's damage.</x:v>
      </x:c>
      <x:c r="N239" s="25" t="str">
        <x:v>fixed_upgrade_price</x:v>
      </x:c>
      <x:c r="O239" s="30" t="n">
        <x:v>70000</x:v>
      </x:c>
      <x:c r="P239" s="25" t="str">
        <x:v>https://raw.githubusercontent.com/Btd6ModHelper/btd6-game-data/main/Towers/SuperMonkey/SuperMonkey-050.json</x:v>
      </x:c>
      <x:c r="Q239" s="25" t="str">
        <x:v>https://raw.githubusercontent.com/hemisemidemipresent/cyberquincy/master/jsons/costs.json</x:v>
      </x:c>
      <x:c r="R239" s="25" t="str">
        <x:v>https://raw.githubusercontent.com/Btd6ModHelper/btd6-game-data/main/textTable.json</x:v>
      </x:c>
      <x:c r="S239" s="25"/>
      <x:c r="T239" s="25"/>
    </x:row>
    <x:row r="240" ht="64" customHeight="1">
      <x:c r="A240" s="25" t="str">
        <x:v>Super Monkey</x:v>
      </x:c>
      <x:c r="B240" s="80" t="str">
        <x:v>001</x:v>
      </x:c>
      <x:c r="C240" s="25" t="str">
        <x:v>bottom</x:v>
      </x:c>
      <x:c r="D240" s="25" t="n">
        <x:v>1</x:v>
      </x:c>
      <x:c r="E240" s="25" t="str">
        <x:v>Knockback</x:v>
      </x:c>
      <x:c r="F240" s="30" t="n">
        <x:v>3000</x:v>
      </x:c>
      <x:c r="G240" s="30" t="n">
        <x:f>IF(F240="","",FLOOR(INT(F240*'Price rules'!$B$5),'Price rules'!$B$9)+IF(MOD(INT(F240*'Price rules'!$B$5),'Price rules'!$B$9)&lt;'Price rules'!$B$10,0,'Price rules'!$B$9))</x:f>
        <x:v>2550</x:v>
      </x:c>
      <x:c r="H240" s="30" t="n">
        <x:f>IF(F240="","",FLOOR(INT(F240*'Price rules'!$B$7),'Price rules'!$B$9)+IF(MOD(INT(F240*'Price rules'!$B$7),'Price rules'!$B$9)&lt;'Price rules'!$B$10,0,'Price rules'!$B$9))</x:f>
        <x:v>3240</x:v>
      </x:c>
      <x:c r="I240" s="30" t="n">
        <x:f>IF(F240="","",FLOOR(INT(F240*'Price rules'!$B$8),'Price rules'!$B$9)+IF(MOD(INT(F240*'Price rules'!$B$8),'Price rules'!$B$9)&lt;'Price rules'!$B$10,0,'Price rules'!$B$9))</x:f>
        <x:v>3600</x:v>
      </x:c>
      <x:c r="J240" s="30" t="n">
        <x:f>IF(N240="conditional","",SUMIFS($F$5:$F$394,$A$5:$A$394,A240,$C$5:$C$394,C240,$D$5:$D$394,"&lt;="&amp;D240)+SUMIF(Towers!$A$5:$A$30,A240,Towers!$E$5:$E$30))</x:f>
        <x:v>5500</x:v>
      </x:c>
      <x:c r="K240" s="30"/>
      <x:c r="L240" s="25" t="str">
        <x:v>rapid_fire</x:v>
      </x:c>
      <x:c r="M240" s="25" t="str">
        <x:v>Adds a movement-reduction effect to attacks.</x:v>
      </x:c>
      <x:c r="N240" s="25" t="str">
        <x:v>fixed_upgrade_price</x:v>
      </x:c>
      <x:c r="O240" s="30" t="n">
        <x:v>3000</x:v>
      </x:c>
      <x:c r="P240" s="25" t="str">
        <x:v>https://raw.githubusercontent.com/Btd6ModHelper/btd6-game-data/main/Towers/SuperMonkey/SuperMonkey-001.json</x:v>
      </x:c>
      <x:c r="Q240" s="25" t="str">
        <x:v>https://raw.githubusercontent.com/hemisemidemipresent/cyberquincy/master/jsons/costs.json</x:v>
      </x:c>
      <x:c r="R240" s="25" t="str">
        <x:v>https://raw.githubusercontent.com/Btd6ModHelper/btd6-game-data/main/textTable.json</x:v>
      </x:c>
      <x:c r="S240" s="25"/>
      <x:c r="T240" s="25"/>
    </x:row>
    <x:row r="241" ht="64" customHeight="1">
      <x:c r="A241" s="25" t="str">
        <x:v>Super Monkey</x:v>
      </x:c>
      <x:c r="B241" s="80" t="str">
        <x:v>002</x:v>
      </x:c>
      <x:c r="C241" s="25" t="str">
        <x:v>bottom</x:v>
      </x:c>
      <x:c r="D241" s="25" t="n">
        <x:v>2</x:v>
      </x:c>
      <x:c r="E241" s="25" t="str">
        <x:v>Ultravision</x:v>
      </x:c>
      <x:c r="F241" s="30" t="n">
        <x:v>1200</x:v>
      </x:c>
      <x:c r="G241" s="30" t="n">
        <x:f>IF(F241="","",FLOOR(INT(F241*'Price rules'!$B$5),'Price rules'!$B$9)+IF(MOD(INT(F241*'Price rules'!$B$5),'Price rules'!$B$9)&lt;'Price rules'!$B$10,0,'Price rules'!$B$9))</x:f>
        <x:v>1020</x:v>
      </x:c>
      <x:c r="H241" s="30" t="n">
        <x:f>IF(F241="","",FLOOR(INT(F241*'Price rules'!$B$7),'Price rules'!$B$9)+IF(MOD(INT(F241*'Price rules'!$B$7),'Price rules'!$B$9)&lt;'Price rules'!$B$10,0,'Price rules'!$B$9))</x:f>
        <x:v>1295</x:v>
      </x:c>
      <x:c r="I241" s="30" t="n">
        <x:f>IF(F241="","",FLOOR(INT(F241*'Price rules'!$B$8),'Price rules'!$B$9)+IF(MOD(INT(F241*'Price rules'!$B$8),'Price rules'!$B$9)&lt;'Price rules'!$B$10,0,'Price rules'!$B$9))</x:f>
        <x:v>1440</x:v>
      </x:c>
      <x:c r="J241" s="30" t="n">
        <x:f>IF(N241="conditional","",SUMIFS($F$5:$F$394,$A$5:$A$394,A241,$C$5:$C$394,C241,$D$5:$D$394,"&lt;="&amp;D241)+SUMIF(Towers!$A$5:$A$30,A241,Towers!$E$5:$E$30))</x:f>
        <x:v>6700</x:v>
      </x:c>
      <x:c r="K241" s="30"/>
      <x:c r="L241" s="25" t="str">
        <x:v>rapid_fire</x:v>
      </x:c>
      <x:c r="M241" s="25" t="str">
        <x:v>Adds range, Camo detection, and bonus damage against Camo targets.</x:v>
      </x:c>
      <x:c r="N241" s="25" t="str">
        <x:v>fixed_upgrade_price</x:v>
      </x:c>
      <x:c r="O241" s="30" t="n">
        <x:v>1200</x:v>
      </x:c>
      <x:c r="P241" s="25" t="str">
        <x:v>https://raw.githubusercontent.com/Btd6ModHelper/btd6-game-data/main/Towers/SuperMonkey/SuperMonkey-002.json</x:v>
      </x:c>
      <x:c r="Q241" s="25" t="str">
        <x:v>https://raw.githubusercontent.com/hemisemidemipresent/cyberquincy/master/jsons/costs.json</x:v>
      </x:c>
      <x:c r="R241" s="25" t="str">
        <x:v>https://raw.githubusercontent.com/Btd6ModHelper/btd6-game-data/main/textTable.json</x:v>
      </x:c>
      <x:c r="S241" s="25"/>
      <x:c r="T241" s="25"/>
    </x:row>
    <x:row r="242" ht="64" customHeight="1">
      <x:c r="A242" s="25" t="str">
        <x:v>Super Monkey</x:v>
      </x:c>
      <x:c r="B242" s="80" t="str">
        <x:v>003</x:v>
      </x:c>
      <x:c r="C242" s="25" t="str">
        <x:v>bottom</x:v>
      </x:c>
      <x:c r="D242" s="25" t="n">
        <x:v>3</x:v>
      </x:c>
      <x:c r="E242" s="25" t="str">
        <x:v>Dark Knight</x:v>
      </x:c>
      <x:c r="F242" s="30" t="n">
        <x:v>5600</x:v>
      </x:c>
      <x:c r="G242" s="30" t="n">
        <x:f>IF(F242="","",FLOOR(INT(F242*'Price rules'!$B$5),'Price rules'!$B$9)+IF(MOD(INT(F242*'Price rules'!$B$5),'Price rules'!$B$9)&lt;'Price rules'!$B$10,0,'Price rules'!$B$9))</x:f>
        <x:v>4760</x:v>
      </x:c>
      <x:c r="H242" s="30" t="n">
        <x:f>IF(F242="","",FLOOR(INT(F242*'Price rules'!$B$7),'Price rules'!$B$9)+IF(MOD(INT(F242*'Price rules'!$B$7),'Price rules'!$B$9)&lt;'Price rules'!$B$10,0,'Price rules'!$B$9))</x:f>
        <x:v>6050</x:v>
      </x:c>
      <x:c r="I242" s="30" t="n">
        <x:f>IF(F242="","",FLOOR(INT(F242*'Price rules'!$B$8),'Price rules'!$B$9)+IF(MOD(INT(F242*'Price rules'!$B$8),'Price rules'!$B$9)&lt;'Price rules'!$B$10,0,'Price rules'!$B$9))</x:f>
        <x:v>6720</x:v>
      </x:c>
      <x:c r="J242" s="30" t="n">
        <x:f>IF(N242="conditional","",SUMIFS($F$5:$F$394,$A$5:$A$394,A242,$C$5:$C$394,C242,$D$5:$D$394,"&lt;="&amp;D242)+SUMIF(Towers!$A$5:$A$30,A242,Towers!$E$5:$E$30))</x:f>
        <x:v>12300</x:v>
      </x:c>
      <x:c r="K242" s="30"/>
      <x:c r="L242" s="25" t="str">
        <x:v>tank_killer</x:v>
      </x:c>
      <x:c r="M242" s="25" t="str">
        <x:v>Adds anti-MOAB damage and a short-range Darkshift teleport ability.</x:v>
      </x:c>
      <x:c r="N242" s="25" t="str">
        <x:v>fixed_upgrade_price</x:v>
      </x:c>
      <x:c r="O242" s="30" t="n">
        <x:v>5600</x:v>
      </x:c>
      <x:c r="P242" s="25" t="str">
        <x:v>https://raw.githubusercontent.com/Btd6ModHelper/btd6-game-data/main/Towers/SuperMonkey/SuperMonkey-003.json</x:v>
      </x:c>
      <x:c r="Q242" s="25" t="str">
        <x:v>https://raw.githubusercontent.com/hemisemidemipresent/cyberquincy/master/jsons/costs.json</x:v>
      </x:c>
      <x:c r="R242" s="25" t="str">
        <x:v>https://raw.githubusercontent.com/Btd6ModHelper/btd6-game-data/main/textTable.json</x:v>
      </x:c>
      <x:c r="S242" s="25"/>
      <x:c r="T242" s="25"/>
    </x:row>
    <x:row r="243" ht="64" customHeight="1">
      <x:c r="A243" s="25" t="str">
        <x:v>Super Monkey</x:v>
      </x:c>
      <x:c r="B243" s="80" t="str">
        <x:v>004</x:v>
      </x:c>
      <x:c r="C243" s="25" t="str">
        <x:v>bottom</x:v>
      </x:c>
      <x:c r="D243" s="25" t="n">
        <x:v>4</x:v>
      </x:c>
      <x:c r="E243" s="25" t="str">
        <x:v>Dark Champion</x:v>
      </x:c>
      <x:c r="F243" s="30" t="n">
        <x:v>55555</x:v>
      </x:c>
      <x:c r="G243" s="30" t="n">
        <x:f>IF(F243="","",FLOOR(INT(F243*'Price rules'!$B$5),'Price rules'!$B$9)+IF(MOD(INT(F243*'Price rules'!$B$5),'Price rules'!$B$9)&lt;'Price rules'!$B$10,0,'Price rules'!$B$9))</x:f>
        <x:v>47220</x:v>
      </x:c>
      <x:c r="H243" s="30" t="n">
        <x:f>IF(F243="","",FLOOR(INT(F243*'Price rules'!$B$7),'Price rules'!$B$9)+IF(MOD(INT(F243*'Price rules'!$B$7),'Price rules'!$B$9)&lt;'Price rules'!$B$10,0,'Price rules'!$B$9))</x:f>
        <x:v>60000</x:v>
      </x:c>
      <x:c r="I243" s="30" t="n">
        <x:f>IF(F243="","",FLOOR(INT(F243*'Price rules'!$B$8),'Price rules'!$B$9)+IF(MOD(INT(F243*'Price rules'!$B$8),'Price rules'!$B$9)&lt;'Price rules'!$B$10,0,'Price rules'!$B$9))</x:f>
        <x:v>66665</x:v>
      </x:c>
      <x:c r="J243" s="30" t="n">
        <x:f>IF(N243="conditional","",SUMIFS($F$5:$F$394,$A$5:$A$394,A243,$C$5:$C$394,C243,$D$5:$D$394,"&lt;="&amp;D243)+SUMIF(Towers!$A$5:$A$30,A243,Towers!$E$5:$E$30))</x:f>
        <x:v>67855</x:v>
      </x:c>
      <x:c r="K243" s="30"/>
      <x:c r="L243" s="25" t="str">
        <x:v>tank_killer</x:v>
      </x:c>
      <x:c r="M243" s="25" t="str">
        <x:v>Improves damage and gives Darkshift map-wide relocation.</x:v>
      </x:c>
      <x:c r="N243" s="25" t="str">
        <x:v>fixed_upgrade_price</x:v>
      </x:c>
      <x:c r="O243" s="30" t="n">
        <x:v>55555</x:v>
      </x:c>
      <x:c r="P243" s="25" t="str">
        <x:v>https://raw.githubusercontent.com/Btd6ModHelper/btd6-game-data/main/Towers/SuperMonkey/SuperMonkey-004.json</x:v>
      </x:c>
      <x:c r="Q243" s="25" t="str">
        <x:v>https://raw.githubusercontent.com/hemisemidemipresent/cyberquincy/master/jsons/costs.json</x:v>
      </x:c>
      <x:c r="R243" s="25" t="str">
        <x:v>https://raw.githubusercontent.com/Btd6ModHelper/btd6-game-data/main/textTable.json</x:v>
      </x:c>
      <x:c r="S243" s="25"/>
      <x:c r="T243" s="25"/>
    </x:row>
    <x:row r="244" ht="64" customHeight="1">
      <x:c r="A244" s="25" t="str">
        <x:v>Super Monkey</x:v>
      </x:c>
      <x:c r="B244" s="80" t="str">
        <x:v>005</x:v>
      </x:c>
      <x:c r="C244" s="25" t="str">
        <x:v>bottom</x:v>
      </x:c>
      <x:c r="D244" s="25" t="n">
        <x:v>5</x:v>
      </x:c>
      <x:c r="E244" s="25" t="str">
        <x:v>Legend of the Night</x:v>
      </x:c>
      <x:c r="F244" s="30" t="n">
        <x:v>165650</x:v>
      </x:c>
      <x:c r="G244" s="30" t="n">
        <x:f>IF(F244="","",FLOOR(INT(F244*'Price rules'!$B$5),'Price rules'!$B$9)+IF(MOD(INT(F244*'Price rules'!$B$5),'Price rules'!$B$9)&lt;'Price rules'!$B$10,0,'Price rules'!$B$9))</x:f>
        <x:v>140800</x:v>
      </x:c>
      <x:c r="H244" s="30" t="n">
        <x:f>IF(F244="","",FLOOR(INT(F244*'Price rules'!$B$7),'Price rules'!$B$9)+IF(MOD(INT(F244*'Price rules'!$B$7),'Price rules'!$B$9)&lt;'Price rules'!$B$10,0,'Price rules'!$B$9))</x:f>
        <x:v>178900</x:v>
      </x:c>
      <x:c r="I244" s="30" t="n">
        <x:f>IF(F244="","",FLOOR(INT(F244*'Price rules'!$B$8),'Price rules'!$B$9)+IF(MOD(INT(F244*'Price rules'!$B$8),'Price rules'!$B$9)&lt;'Price rules'!$B$10,0,'Price rules'!$B$9))</x:f>
        <x:v>198780</x:v>
      </x:c>
      <x:c r="J244" s="30" t="n">
        <x:f>IF(N244="conditional","",SUMIFS($F$5:$F$394,$A$5:$A$394,A244,$C$5:$C$394,C244,$D$5:$D$394,"&lt;="&amp;D244)+SUMIF(Towers!$A$5:$A$30,A244,Towers!$E$5:$E$30))</x:f>
        <x:v>233505</x:v>
      </x:c>
      <x:c r="K244" s="30"/>
      <x:c r="L244" s="25" t="str">
        <x:v>tank_killer</x:v>
      </x:c>
      <x:c r="M244" s="25" t="str">
        <x:v>Adds powerful attacks and an automatic emergency black hole that can absorb leaking Bloons.</x:v>
      </x:c>
      <x:c r="N244" s="25" t="str">
        <x:v>fixed_upgrade_price</x:v>
      </x:c>
      <x:c r="O244" s="30" t="n">
        <x:v>165650</x:v>
      </x:c>
      <x:c r="P244" s="25" t="str">
        <x:v>https://raw.githubusercontent.com/Btd6ModHelper/btd6-game-data/main/Towers/SuperMonkey/SuperMonkey-005.json</x:v>
      </x:c>
      <x:c r="Q244" s="25" t="str">
        <x:v>https://raw.githubusercontent.com/hemisemidemipresent/cyberquincy/master/jsons/costs.json</x:v>
      </x:c>
      <x:c r="R244" s="25" t="str">
        <x:v>https://raw.githubusercontent.com/Btd6ModHelper/btd6-game-data/main/textTable.json</x:v>
      </x:c>
      <x:c r="S244" s="25"/>
      <x:c r="T244" s="25"/>
    </x:row>
    <x:row r="245" ht="64" customHeight="1">
      <x:c r="A245" s="25" t="str">
        <x:v>Ninja Monkey</x:v>
      </x:c>
      <x:c r="B245" s="80" t="str">
        <x:v>100</x:v>
      </x:c>
      <x:c r="C245" s="25" t="str">
        <x:v>top</x:v>
      </x:c>
      <x:c r="D245" s="25" t="n">
        <x:v>1</x:v>
      </x:c>
      <x:c r="E245" s="25" t="str">
        <x:v>Ninja Discipline</x:v>
      </x:c>
      <x:c r="F245" s="30" t="n">
        <x:v>350</x:v>
      </x:c>
      <x:c r="G245" s="30" t="n">
        <x:f>IF(F245="","",FLOOR(INT(F245*'Price rules'!$B$5),'Price rules'!$B$9)+IF(MOD(INT(F245*'Price rules'!$B$5),'Price rules'!$B$9)&lt;'Price rules'!$B$10,0,'Price rules'!$B$9))</x:f>
        <x:v>295</x:v>
      </x:c>
      <x:c r="H245" s="30" t="n">
        <x:f>IF(F245="","",FLOOR(INT(F245*'Price rules'!$B$7),'Price rules'!$B$9)+IF(MOD(INT(F245*'Price rules'!$B$7),'Price rules'!$B$9)&lt;'Price rules'!$B$10,0,'Price rules'!$B$9))</x:f>
        <x:v>380</x:v>
      </x:c>
      <x:c r="I245" s="30" t="n">
        <x:f>IF(F245="","",FLOOR(INT(F245*'Price rules'!$B$8),'Price rules'!$B$9)+IF(MOD(INT(F245*'Price rules'!$B$8),'Price rules'!$B$9)&lt;'Price rules'!$B$10,0,'Price rules'!$B$9))</x:f>
        <x:v>420</x:v>
      </x:c>
      <x:c r="J245" s="30" t="n">
        <x:f>IF(N245="conditional","",SUMIFS($F$5:$F$394,$A$5:$A$394,A245,$C$5:$C$394,C245,$D$5:$D$394,"&lt;="&amp;D245)+SUMIF(Towers!$A$5:$A$30,A245,Towers!$E$5:$E$30))</x:f>
        <x:v>750</x:v>
      </x:c>
      <x:c r="K245" s="30"/>
      <x:c r="L245" s="25" t="str">
        <x:v>basic_dps</x:v>
      </x:c>
      <x:c r="M245" s="25" t="str">
        <x:v>Increases shuriken firing speed.</x:v>
      </x:c>
      <x:c r="N245" s="25" t="str">
        <x:v>fixed_upgrade_price</x:v>
      </x:c>
      <x:c r="O245" s="30" t="n">
        <x:v>350</x:v>
      </x:c>
      <x:c r="P245" s="25" t="str">
        <x:v>https://raw.githubusercontent.com/Btd6ModHelper/btd6-game-data/main/Towers/NinjaMonkey/NinjaMonkey-100.json</x:v>
      </x:c>
      <x:c r="Q245" s="25" t="str">
        <x:v>https://raw.githubusercontent.com/hemisemidemipresent/cyberquincy/master/jsons/costs.json</x:v>
      </x:c>
      <x:c r="R245" s="25" t="str">
        <x:v>https://raw.githubusercontent.com/Btd6ModHelper/btd6-game-data/main/textTable.json</x:v>
      </x:c>
      <x:c r="S245" s="25"/>
      <x:c r="T245" s="25"/>
    </x:row>
    <x:row r="246" ht="64" customHeight="1">
      <x:c r="A246" s="25" t="str">
        <x:v>Ninja Monkey</x:v>
      </x:c>
      <x:c r="B246" s="80" t="str">
        <x:v>200</x:v>
      </x:c>
      <x:c r="C246" s="25" t="str">
        <x:v>top</x:v>
      </x:c>
      <x:c r="D246" s="25" t="n">
        <x:v>2</x:v>
      </x:c>
      <x:c r="E246" s="25" t="str">
        <x:v>Sharp Shurikens</x:v>
      </x:c>
      <x:c r="F246" s="30" t="n">
        <x:v>350</x:v>
      </x:c>
      <x:c r="G246" s="30" t="n">
        <x:f>IF(F246="","",FLOOR(INT(F246*'Price rules'!$B$5),'Price rules'!$B$9)+IF(MOD(INT(F246*'Price rules'!$B$5),'Price rules'!$B$9)&lt;'Price rules'!$B$10,0,'Price rules'!$B$9))</x:f>
        <x:v>295</x:v>
      </x:c>
      <x:c r="H246" s="30" t="n">
        <x:f>IF(F246="","",FLOOR(INT(F246*'Price rules'!$B$7),'Price rules'!$B$9)+IF(MOD(INT(F246*'Price rules'!$B$7),'Price rules'!$B$9)&lt;'Price rules'!$B$10,0,'Price rules'!$B$9))</x:f>
        <x:v>380</x:v>
      </x:c>
      <x:c r="I246" s="30" t="n">
        <x:f>IF(F246="","",FLOOR(INT(F246*'Price rules'!$B$8),'Price rules'!$B$9)+IF(MOD(INT(F246*'Price rules'!$B$8),'Price rules'!$B$9)&lt;'Price rules'!$B$10,0,'Price rules'!$B$9))</x:f>
        <x:v>420</x:v>
      </x:c>
      <x:c r="J246" s="30" t="n">
        <x:f>IF(N246="conditional","",SUMIFS($F$5:$F$394,$A$5:$A$394,A246,$C$5:$C$394,C246,$D$5:$D$394,"&lt;="&amp;D246)+SUMIF(Towers!$A$5:$A$30,A246,Towers!$E$5:$E$30))</x:f>
        <x:v>1100</x:v>
      </x:c>
      <x:c r="K246" s="30"/>
      <x:c r="L246" s="25" t="str">
        <x:v>basic_dps</x:v>
      </x:c>
      <x:c r="M246" s="25" t="str">
        <x:v>Increases shuriken pierce.</x:v>
      </x:c>
      <x:c r="N246" s="25" t="str">
        <x:v>fixed_upgrade_price</x:v>
      </x:c>
      <x:c r="O246" s="30" t="n">
        <x:v>350</x:v>
      </x:c>
      <x:c r="P246" s="25" t="str">
        <x:v>https://raw.githubusercontent.com/Btd6ModHelper/btd6-game-data/main/Towers/NinjaMonkey/NinjaMonkey-200.json</x:v>
      </x:c>
      <x:c r="Q246" s="25" t="str">
        <x:v>https://raw.githubusercontent.com/hemisemidemipresent/cyberquincy/master/jsons/costs.json</x:v>
      </x:c>
      <x:c r="R246" s="25" t="str">
        <x:v>https://raw.githubusercontent.com/Btd6ModHelper/btd6-game-data/main/textTable.json</x:v>
      </x:c>
      <x:c r="S246" s="25"/>
      <x:c r="T246" s="25"/>
    </x:row>
    <x:row r="247" ht="64" customHeight="1">
      <x:c r="A247" s="25" t="str">
        <x:v>Ninja Monkey</x:v>
      </x:c>
      <x:c r="B247" s="80" t="str">
        <x:v>300</x:v>
      </x:c>
      <x:c r="C247" s="25" t="str">
        <x:v>top</x:v>
      </x:c>
      <x:c r="D247" s="25" t="n">
        <x:v>3</x:v>
      </x:c>
      <x:c r="E247" s="25" t="str">
        <x:v>Double Shot</x:v>
      </x:c>
      <x:c r="F247" s="30" t="n">
        <x:v>900</x:v>
      </x:c>
      <x:c r="G247" s="30" t="n">
        <x:f>IF(F247="","",FLOOR(INT(F247*'Price rules'!$B$5),'Price rules'!$B$9)+IF(MOD(INT(F247*'Price rules'!$B$5),'Price rules'!$B$9)&lt;'Price rules'!$B$10,0,'Price rules'!$B$9))</x:f>
        <x:v>765</x:v>
      </x:c>
      <x:c r="H247" s="30" t="n">
        <x:f>IF(F247="","",FLOOR(INT(F247*'Price rules'!$B$7),'Price rules'!$B$9)+IF(MOD(INT(F247*'Price rules'!$B$7),'Price rules'!$B$9)&lt;'Price rules'!$B$10,0,'Price rules'!$B$9))</x:f>
        <x:v>970</x:v>
      </x:c>
      <x:c r="I247" s="30" t="n">
        <x:f>IF(F247="","",FLOOR(INT(F247*'Price rules'!$B$8),'Price rules'!$B$9)+IF(MOD(INT(F247*'Price rules'!$B$8),'Price rules'!$B$9)&lt;'Price rules'!$B$10,0,'Price rules'!$B$9))</x:f>
        <x:v>1080</x:v>
      </x:c>
      <x:c r="J247" s="30" t="n">
        <x:f>IF(N247="conditional","",SUMIFS($F$5:$F$394,$A$5:$A$394,A247,$C$5:$C$394,C247,$D$5:$D$394,"&lt;="&amp;D247)+SUMIF(Towers!$A$5:$A$30,A247,Towers!$E$5:$E$30))</x:f>
        <x:v>2000</x:v>
      </x:c>
      <x:c r="K247" s="30"/>
      <x:c r="L247" s="25" t="str">
        <x:v>rapid_fire</x:v>
      </x:c>
      <x:c r="M247" s="25" t="str">
        <x:v>Throws two shurikens per attack.</x:v>
      </x:c>
      <x:c r="N247" s="25" t="str">
        <x:v>fixed_upgrade_price</x:v>
      </x:c>
      <x:c r="O247" s="30" t="n">
        <x:v>900</x:v>
      </x:c>
      <x:c r="P247" s="25" t="str">
        <x:v>https://raw.githubusercontent.com/Btd6ModHelper/btd6-game-data/main/Towers/NinjaMonkey/NinjaMonkey-300.json</x:v>
      </x:c>
      <x:c r="Q247" s="25" t="str">
        <x:v>https://raw.githubusercontent.com/hemisemidemipresent/cyberquincy/master/jsons/costs.json</x:v>
      </x:c>
      <x:c r="R247" s="25" t="str">
        <x:v>https://raw.githubusercontent.com/Btd6ModHelper/btd6-game-data/main/textTable.json</x:v>
      </x:c>
      <x:c r="S247" s="25"/>
      <x:c r="T247" s="25"/>
    </x:row>
    <x:row r="248" ht="64" customHeight="1">
      <x:c r="A248" s="25" t="str">
        <x:v>Ninja Monkey</x:v>
      </x:c>
      <x:c r="B248" s="80" t="str">
        <x:v>400</x:v>
      </x:c>
      <x:c r="C248" s="25" t="str">
        <x:v>top</x:v>
      </x:c>
      <x:c r="D248" s="25" t="n">
        <x:v>4</x:v>
      </x:c>
      <x:c r="E248" s="25" t="str">
        <x:v>Bloonjitsu</x:v>
      </x:c>
      <x:c r="F248" s="30" t="n">
        <x:v>2750</x:v>
      </x:c>
      <x:c r="G248" s="30" t="n">
        <x:f>IF(F248="","",FLOOR(INT(F248*'Price rules'!$B$5),'Price rules'!$B$9)+IF(MOD(INT(F248*'Price rules'!$B$5),'Price rules'!$B$9)&lt;'Price rules'!$B$10,0,'Price rules'!$B$9))</x:f>
        <x:v>2335</x:v>
      </x:c>
      <x:c r="H248" s="30" t="n">
        <x:f>IF(F248="","",FLOOR(INT(F248*'Price rules'!$B$7),'Price rules'!$B$9)+IF(MOD(INT(F248*'Price rules'!$B$7),'Price rules'!$B$9)&lt;'Price rules'!$B$10,0,'Price rules'!$B$9))</x:f>
        <x:v>2970</x:v>
      </x:c>
      <x:c r="I248" s="30" t="n">
        <x:f>IF(F248="","",FLOOR(INT(F248*'Price rules'!$B$8),'Price rules'!$B$9)+IF(MOD(INT(F248*'Price rules'!$B$8),'Price rules'!$B$9)&lt;'Price rules'!$B$10,0,'Price rules'!$B$9))</x:f>
        <x:v>3300</x:v>
      </x:c>
      <x:c r="J248" s="30" t="n">
        <x:f>IF(N248="conditional","",SUMIFS($F$5:$F$394,$A$5:$A$394,A248,$C$5:$C$394,C248,$D$5:$D$394,"&lt;="&amp;D248)+SUMIF(Towers!$A$5:$A$30,A248,Towers!$E$5:$E$30))</x:f>
        <x:v>4750</x:v>
      </x:c>
      <x:c r="K248" s="30"/>
      <x:c r="L248" s="25" t="str">
        <x:v>rapid_fire</x:v>
      </x:c>
      <x:c r="M248" s="25" t="str">
        <x:v>Throws five shurikens per attack.</x:v>
      </x:c>
      <x:c r="N248" s="25" t="str">
        <x:v>fixed_upgrade_price</x:v>
      </x:c>
      <x:c r="O248" s="30" t="n">
        <x:v>2750</x:v>
      </x:c>
      <x:c r="P248" s="25" t="str">
        <x:v>https://raw.githubusercontent.com/Btd6ModHelper/btd6-game-data/main/Towers/NinjaMonkey/NinjaMonkey-400.json</x:v>
      </x:c>
      <x:c r="Q248" s="25" t="str">
        <x:v>https://raw.githubusercontent.com/hemisemidemipresent/cyberquincy/master/jsons/costs.json</x:v>
      </x:c>
      <x:c r="R248" s="25" t="str">
        <x:v>https://raw.githubusercontent.com/Btd6ModHelper/btd6-game-data/main/textTable.json</x:v>
      </x:c>
      <x:c r="S248" s="25"/>
      <x:c r="T248" s="25"/>
    </x:row>
    <x:row r="249" ht="64" customHeight="1">
      <x:c r="A249" s="25" t="str">
        <x:v>Ninja Monkey</x:v>
      </x:c>
      <x:c r="B249" s="80" t="str">
        <x:v>500</x:v>
      </x:c>
      <x:c r="C249" s="25" t="str">
        <x:v>top</x:v>
      </x:c>
      <x:c r="D249" s="25" t="n">
        <x:v>5</x:v>
      </x:c>
      <x:c r="E249" s="25" t="str">
        <x:v>Grandmaster Ninja</x:v>
      </x:c>
      <x:c r="F249" s="30" t="n">
        <x:v>35000</x:v>
      </x:c>
      <x:c r="G249" s="30" t="n">
        <x:f>IF(F249="","",FLOOR(INT(F249*'Price rules'!$B$5),'Price rules'!$B$9)+IF(MOD(INT(F249*'Price rules'!$B$5),'Price rules'!$B$9)&lt;'Price rules'!$B$10,0,'Price rules'!$B$9))</x:f>
        <x:v>29750</x:v>
      </x:c>
      <x:c r="H249" s="30" t="n">
        <x:f>IF(F249="","",FLOOR(INT(F249*'Price rules'!$B$7),'Price rules'!$B$9)+IF(MOD(INT(F249*'Price rules'!$B$7),'Price rules'!$B$9)&lt;'Price rules'!$B$10,0,'Price rules'!$B$9))</x:f>
        <x:v>37800</x:v>
      </x:c>
      <x:c r="I249" s="30" t="n">
        <x:f>IF(F249="","",FLOOR(INT(F249*'Price rules'!$B$8),'Price rules'!$B$9)+IF(MOD(INT(F249*'Price rules'!$B$8),'Price rules'!$B$9)&lt;'Price rules'!$B$10,0,'Price rules'!$B$9))</x:f>
        <x:v>42000</x:v>
      </x:c>
      <x:c r="J249" s="30" t="n">
        <x:f>IF(N249="conditional","",SUMIFS($F$5:$F$394,$A$5:$A$394,A249,$C$5:$C$394,C249,$D$5:$D$394,"&lt;="&amp;D249)+SUMIF(Towers!$A$5:$A$30,A249,Towers!$E$5:$E$30))</x:f>
        <x:v>39750</x:v>
      </x:c>
      <x:c r="K249" s="30"/>
      <x:c r="L249" s="25" t="str">
        <x:v>rapid_fire</x:v>
      </x:c>
      <x:c r="M249" s="25" t="str">
        <x:v>Throws eight shurikens at a much faster rate.</x:v>
      </x:c>
      <x:c r="N249" s="25" t="str">
        <x:v>fixed_upgrade_price</x:v>
      </x:c>
      <x:c r="O249" s="30" t="n">
        <x:v>35000</x:v>
      </x:c>
      <x:c r="P249" s="25" t="str">
        <x:v>https://raw.githubusercontent.com/Btd6ModHelper/btd6-game-data/main/Towers/NinjaMonkey/NinjaMonkey-500.json</x:v>
      </x:c>
      <x:c r="Q249" s="25" t="str">
        <x:v>https://raw.githubusercontent.com/hemisemidemipresent/cyberquincy/master/jsons/costs.json</x:v>
      </x:c>
      <x:c r="R249" s="25" t="str">
        <x:v>https://raw.githubusercontent.com/Btd6ModHelper/btd6-game-data/main/textTable.json</x:v>
      </x:c>
      <x:c r="S249" s="25"/>
      <x:c r="T249" s="25"/>
    </x:row>
    <x:row r="250" ht="64" customHeight="1">
      <x:c r="A250" s="25" t="str">
        <x:v>Ninja Monkey</x:v>
      </x:c>
      <x:c r="B250" s="80" t="str">
        <x:v>010</x:v>
      </x:c>
      <x:c r="C250" s="25" t="str">
        <x:v>middle</x:v>
      </x:c>
      <x:c r="D250" s="25" t="n">
        <x:v>1</x:v>
      </x:c>
      <x:c r="E250" s="25" t="str">
        <x:v>Distraction</x:v>
      </x:c>
      <x:c r="F250" s="30" t="n">
        <x:v>250</x:v>
      </x:c>
      <x:c r="G250" s="30" t="n">
        <x:f>IF(F250="","",FLOOR(INT(F250*'Price rules'!$B$5),'Price rules'!$B$9)+IF(MOD(INT(F250*'Price rules'!$B$5),'Price rules'!$B$9)&lt;'Price rules'!$B$10,0,'Price rules'!$B$9))</x:f>
        <x:v>210</x:v>
      </x:c>
      <x:c r="H250" s="30" t="n">
        <x:f>IF(F250="","",FLOOR(INT(F250*'Price rules'!$B$7),'Price rules'!$B$9)+IF(MOD(INT(F250*'Price rules'!$B$7),'Price rules'!$B$9)&lt;'Price rules'!$B$10,0,'Price rules'!$B$9))</x:f>
        <x:v>270</x:v>
      </x:c>
      <x:c r="I250" s="30" t="n">
        <x:f>IF(F250="","",FLOOR(INT(F250*'Price rules'!$B$8),'Price rules'!$B$9)+IF(MOD(INT(F250*'Price rules'!$B$8),'Price rules'!$B$9)&lt;'Price rules'!$B$10,0,'Price rules'!$B$9))</x:f>
        <x:v>300</x:v>
      </x:c>
      <x:c r="J250" s="30" t="n">
        <x:f>IF(N250="conditional","",SUMIFS($F$5:$F$394,$A$5:$A$394,A250,$C$5:$C$394,C250,$D$5:$D$394,"&lt;="&amp;D250)+SUMIF(Towers!$A$5:$A$30,A250,Towers!$E$5:$E$30))</x:f>
        <x:v>650</x:v>
      </x:c>
      <x:c r="K250" s="30"/>
      <x:c r="L250" s="25" t="str">
        <x:v>basic_dps</x:v>
      </x:c>
      <x:c r="M250" s="25" t="str">
        <x:v>Attacks can send ordinary Bloons backward.</x:v>
      </x:c>
      <x:c r="N250" s="25" t="str">
        <x:v>fixed_upgrade_price</x:v>
      </x:c>
      <x:c r="O250" s="30" t="n">
        <x:v>250</x:v>
      </x:c>
      <x:c r="P250" s="25" t="str">
        <x:v>https://raw.githubusercontent.com/Btd6ModHelper/btd6-game-data/main/Towers/NinjaMonkey/NinjaMonkey-010.json</x:v>
      </x:c>
      <x:c r="Q250" s="25" t="str">
        <x:v>https://raw.githubusercontent.com/hemisemidemipresent/cyberquincy/master/jsons/costs.json</x:v>
      </x:c>
      <x:c r="R250" s="25" t="str">
        <x:v>https://raw.githubusercontent.com/Btd6ModHelper/btd6-game-data/main/textTable.json</x:v>
      </x:c>
      <x:c r="S250" s="25"/>
      <x:c r="T250" s="25"/>
    </x:row>
    <x:row r="251" ht="64" customHeight="1">
      <x:c r="A251" s="25" t="str">
        <x:v>Ninja Monkey</x:v>
      </x:c>
      <x:c r="B251" s="80" t="str">
        <x:v>020</x:v>
      </x:c>
      <x:c r="C251" s="25" t="str">
        <x:v>middle</x:v>
      </x:c>
      <x:c r="D251" s="25" t="n">
        <x:v>2</x:v>
      </x:c>
      <x:c r="E251" s="25" t="str">
        <x:v>Counter-Espionage</x:v>
      </x:c>
      <x:c r="F251" s="30" t="n">
        <x:v>400</x:v>
      </x:c>
      <x:c r="G251" s="30" t="n">
        <x:f>IF(F251="","",FLOOR(INT(F251*'Price rules'!$B$5),'Price rules'!$B$9)+IF(MOD(INT(F251*'Price rules'!$B$5),'Price rules'!$B$9)&lt;'Price rules'!$B$10,0,'Price rules'!$B$9))</x:f>
        <x:v>340</x:v>
      </x:c>
      <x:c r="H251" s="30" t="n">
        <x:f>IF(F251="","",FLOOR(INT(F251*'Price rules'!$B$7),'Price rules'!$B$9)+IF(MOD(INT(F251*'Price rules'!$B$7),'Price rules'!$B$9)&lt;'Price rules'!$B$10,0,'Price rules'!$B$9))</x:f>
        <x:v>430</x:v>
      </x:c>
      <x:c r="I251" s="30" t="n">
        <x:f>IF(F251="","",FLOOR(INT(F251*'Price rules'!$B$8),'Price rules'!$B$9)+IF(MOD(INT(F251*'Price rules'!$B$8),'Price rules'!$B$9)&lt;'Price rules'!$B$10,0,'Price rules'!$B$9))</x:f>
        <x:v>480</x:v>
      </x:c>
      <x:c r="J251" s="30" t="n">
        <x:f>IF(N251="conditional","",SUMIFS($F$5:$F$394,$A$5:$A$394,A251,$C$5:$C$394,C251,$D$5:$D$394,"&lt;="&amp;D251)+SUMIF(Towers!$A$5:$A$30,A251,Towers!$E$5:$E$30))</x:f>
        <x:v>1050</x:v>
      </x:c>
      <x:c r="K251" s="30"/>
      <x:c r="L251" s="25" t="str">
        <x:v>basic_dps</x:v>
      </x:c>
      <x:c r="M251" s="25" t="str">
        <x:v>Hits remove Camo from targets.</x:v>
      </x:c>
      <x:c r="N251" s="25" t="str">
        <x:v>fixed_upgrade_price</x:v>
      </x:c>
      <x:c r="O251" s="30" t="n">
        <x:v>400</x:v>
      </x:c>
      <x:c r="P251" s="25" t="str">
        <x:v>https://raw.githubusercontent.com/Btd6ModHelper/btd6-game-data/main/Towers/NinjaMonkey/NinjaMonkey-020.json</x:v>
      </x:c>
      <x:c r="Q251" s="25" t="str">
        <x:v>https://raw.githubusercontent.com/hemisemidemipresent/cyberquincy/master/jsons/costs.json</x:v>
      </x:c>
      <x:c r="R251" s="25" t="str">
        <x:v>https://raw.githubusercontent.com/Btd6ModHelper/btd6-game-data/main/textTable.json</x:v>
      </x:c>
      <x:c r="S251" s="25"/>
      <x:c r="T251" s="25"/>
    </x:row>
    <x:row r="252" ht="64" customHeight="1">
      <x:c r="A252" s="25" t="str">
        <x:v>Ninja Monkey</x:v>
      </x:c>
      <x:c r="B252" s="80" t="str">
        <x:v>030</x:v>
      </x:c>
      <x:c r="C252" s="25" t="str">
        <x:v>middle</x:v>
      </x:c>
      <x:c r="D252" s="25" t="n">
        <x:v>3</x:v>
      </x:c>
      <x:c r="E252" s="25" t="str">
        <x:v>Shinobi Tactics</x:v>
      </x:c>
      <x:c r="F252" s="30" t="n">
        <x:v>1200</x:v>
      </x:c>
      <x:c r="G252" s="30" t="n">
        <x:f>IF(F252="","",FLOOR(INT(F252*'Price rules'!$B$5),'Price rules'!$B$9)+IF(MOD(INT(F252*'Price rules'!$B$5),'Price rules'!$B$9)&lt;'Price rules'!$B$10,0,'Price rules'!$B$9))</x:f>
        <x:v>1020</x:v>
      </x:c>
      <x:c r="H252" s="30" t="n">
        <x:f>IF(F252="","",FLOOR(INT(F252*'Price rules'!$B$7),'Price rules'!$B$9)+IF(MOD(INT(F252*'Price rules'!$B$7),'Price rules'!$B$9)&lt;'Price rules'!$B$10,0,'Price rules'!$B$9))</x:f>
        <x:v>1295</x:v>
      </x:c>
      <x:c r="I252" s="30" t="n">
        <x:f>IF(F252="","",FLOOR(INT(F252*'Price rules'!$B$8),'Price rules'!$B$9)+IF(MOD(INT(F252*'Price rules'!$B$8),'Price rules'!$B$9)&lt;'Price rules'!$B$10,0,'Price rules'!$B$9))</x:f>
        <x:v>1440</x:v>
      </x:c>
      <x:c r="J252" s="30" t="n">
        <x:f>IF(N252="conditional","",SUMIFS($F$5:$F$394,$A$5:$A$394,A252,$C$5:$C$394,C252,$D$5:$D$394,"&lt;="&amp;D252)+SUMIF(Towers!$A$5:$A$30,A252,Towers!$E$5:$E$30))</x:f>
        <x:v>2250</x:v>
      </x:c>
      <x:c r="K252" s="30"/>
      <x:c r="L252" s="25" t="str">
        <x:v>support</x:v>
      </x:c>
      <x:c r="M252" s="25" t="str">
        <x:v>Buffs nearby Ninjas' attack speed and pierce; multiple Shinobi buffs can stack.</x:v>
      </x:c>
      <x:c r="N252" s="25" t="str">
        <x:v>fixed_upgrade_price</x:v>
      </x:c>
      <x:c r="O252" s="30" t="n">
        <x:v>1200</x:v>
      </x:c>
      <x:c r="P252" s="25" t="str">
        <x:v>https://raw.githubusercontent.com/Btd6ModHelper/btd6-game-data/main/Towers/NinjaMonkey/NinjaMonkey-030.json</x:v>
      </x:c>
      <x:c r="Q252" s="25" t="str">
        <x:v>https://raw.githubusercontent.com/hemisemidemipresent/cyberquincy/master/jsons/costs.json</x:v>
      </x:c>
      <x:c r="R252" s="25" t="str">
        <x:v>https://raw.githubusercontent.com/Btd6ModHelper/btd6-game-data/main/textTable.json</x:v>
      </x:c>
      <x:c r="S252" s="25"/>
      <x:c r="T252" s="25"/>
    </x:row>
    <x:row r="253" ht="64" customHeight="1">
      <x:c r="A253" s="25" t="str">
        <x:v>Ninja Monkey</x:v>
      </x:c>
      <x:c r="B253" s="80" t="str">
        <x:v>040</x:v>
      </x:c>
      <x:c r="C253" s="25" t="str">
        <x:v>middle</x:v>
      </x:c>
      <x:c r="D253" s="25" t="n">
        <x:v>4</x:v>
      </x:c>
      <x:c r="E253" s="25" t="str">
        <x:v>Bloon Sabotage</x:v>
      </x:c>
      <x:c r="F253" s="30" t="n">
        <x:v>5200</x:v>
      </x:c>
      <x:c r="G253" s="30" t="n">
        <x:f>IF(F253="","",FLOOR(INT(F253*'Price rules'!$B$5),'Price rules'!$B$9)+IF(MOD(INT(F253*'Price rules'!$B$5),'Price rules'!$B$9)&lt;'Price rules'!$B$10,0,'Price rules'!$B$9))</x:f>
        <x:v>4420</x:v>
      </x:c>
      <x:c r="H253" s="30" t="n">
        <x:f>IF(F253="","",FLOOR(INT(F253*'Price rules'!$B$7),'Price rules'!$B$9)+IF(MOD(INT(F253*'Price rules'!$B$7),'Price rules'!$B$9)&lt;'Price rules'!$B$10,0,'Price rules'!$B$9))</x:f>
        <x:v>5615</x:v>
      </x:c>
      <x:c r="I253" s="30" t="n">
        <x:f>IF(F253="","",FLOOR(INT(F253*'Price rules'!$B$8),'Price rules'!$B$9)+IF(MOD(INT(F253*'Price rules'!$B$8),'Price rules'!$B$9)&lt;'Price rules'!$B$10,0,'Price rules'!$B$9))</x:f>
        <x:v>6240</x:v>
      </x:c>
      <x:c r="J253" s="30" t="n">
        <x:f>IF(N253="conditional","",SUMIFS($F$5:$F$394,$A$5:$A$394,A253,$C$5:$C$394,C253,$D$5:$D$394,"&lt;="&amp;D253)+SUMIF(Towers!$A$5:$A$30,A253,Towers!$E$5:$E$30))</x:f>
        <x:v>7450</x:v>
      </x:c>
      <x:c r="K253" s="30"/>
      <x:c r="L253" s="25" t="str">
        <x:v>slow</x:v>
      </x:c>
      <x:c r="M253" s="25" t="str">
        <x:v>Adds a temporary map-wide slowing ability.</x:v>
      </x:c>
      <x:c r="N253" s="25" t="str">
        <x:v>fixed_upgrade_price</x:v>
      </x:c>
      <x:c r="O253" s="30" t="n">
        <x:v>5200</x:v>
      </x:c>
      <x:c r="P253" s="25" t="str">
        <x:v>https://raw.githubusercontent.com/Btd6ModHelper/btd6-game-data/main/Towers/NinjaMonkey/NinjaMonkey-040.json</x:v>
      </x:c>
      <x:c r="Q253" s="25" t="str">
        <x:v>https://raw.githubusercontent.com/hemisemidemipresent/cyberquincy/master/jsons/costs.json</x:v>
      </x:c>
      <x:c r="R253" s="25" t="str">
        <x:v>https://raw.githubusercontent.com/Btd6ModHelper/btd6-game-data/main/textTable.json</x:v>
      </x:c>
      <x:c r="S253" s="25"/>
      <x:c r="T253" s="25"/>
    </x:row>
    <x:row r="254" ht="64" customHeight="1">
      <x:c r="A254" s="25" t="str">
        <x:v>Ninja Monkey</x:v>
      </x:c>
      <x:c r="B254" s="80" t="str">
        <x:v>050</x:v>
      </x:c>
      <x:c r="C254" s="25" t="str">
        <x:v>middle</x:v>
      </x:c>
      <x:c r="D254" s="25" t="n">
        <x:v>5</x:v>
      </x:c>
      <x:c r="E254" s="25" t="str">
        <x:v>Grand Saboteur</x:v>
      </x:c>
      <x:c r="F254" s="30" t="n">
        <x:v>22000</x:v>
      </x:c>
      <x:c r="G254" s="30" t="n">
        <x:f>IF(F254="","",FLOOR(INT(F254*'Price rules'!$B$5),'Price rules'!$B$9)+IF(MOD(INT(F254*'Price rules'!$B$5),'Price rules'!$B$9)&lt;'Price rules'!$B$10,0,'Price rules'!$B$9))</x:f>
        <x:v>18700</x:v>
      </x:c>
      <x:c r="H254" s="30" t="n">
        <x:f>IF(F254="","",FLOOR(INT(F254*'Price rules'!$B$7),'Price rules'!$B$9)+IF(MOD(INT(F254*'Price rules'!$B$7),'Price rules'!$B$9)&lt;'Price rules'!$B$10,0,'Price rules'!$B$9))</x:f>
        <x:v>23760</x:v>
      </x:c>
      <x:c r="I254" s="30" t="n">
        <x:f>IF(F254="","",FLOOR(INT(F254*'Price rules'!$B$8),'Price rules'!$B$9)+IF(MOD(INT(F254*'Price rules'!$B$8),'Price rules'!$B$9)&lt;'Price rules'!$B$10,0,'Price rules'!$B$9))</x:f>
        <x:v>26400</x:v>
      </x:c>
      <x:c r="J254" s="30" t="n">
        <x:f>IF(N254="conditional","",SUMIFS($F$5:$F$394,$A$5:$A$394,A254,$C$5:$C$394,C254,$D$5:$D$394,"&lt;="&amp;D254)+SUMIF(Towers!$A$5:$A$30,A254,Towers!$E$5:$E$30))</x:f>
        <x:v>29450</x:v>
      </x:c>
      <x:c r="K254" s="30"/>
      <x:c r="L254" s="25" t="str">
        <x:v>slow</x:v>
      </x:c>
      <x:c r="M254" s="25" t="str">
        <x:v>Extends sabotage, damages newly entering MOAB-class targets during its effect, and improves Shinobi support.</x:v>
      </x:c>
      <x:c r="N254" s="25" t="str">
        <x:v>fixed_upgrade_price</x:v>
      </x:c>
      <x:c r="O254" s="30" t="n">
        <x:v>22000</x:v>
      </x:c>
      <x:c r="P254" s="25" t="str">
        <x:v>https://raw.githubusercontent.com/Btd6ModHelper/btd6-game-data/main/Towers/NinjaMonkey/NinjaMonkey-050.json</x:v>
      </x:c>
      <x:c r="Q254" s="25" t="str">
        <x:v>https://raw.githubusercontent.com/hemisemidemipresent/cyberquincy/master/jsons/costs.json</x:v>
      </x:c>
      <x:c r="R254" s="25" t="str">
        <x:v>https://raw.githubusercontent.com/Btd6ModHelper/btd6-game-data/main/textTable.json</x:v>
      </x:c>
      <x:c r="S254" s="25"/>
      <x:c r="T254" s="25"/>
    </x:row>
    <x:row r="255" ht="64" customHeight="1">
      <x:c r="A255" s="25" t="str">
        <x:v>Ninja Monkey</x:v>
      </x:c>
      <x:c r="B255" s="80" t="str">
        <x:v>001</x:v>
      </x:c>
      <x:c r="C255" s="25" t="str">
        <x:v>bottom</x:v>
      </x:c>
      <x:c r="D255" s="25" t="n">
        <x:v>1</x:v>
      </x:c>
      <x:c r="E255" s="25" t="str">
        <x:v>Seeking Shuriken</x:v>
      </x:c>
      <x:c r="F255" s="30" t="n">
        <x:v>300</x:v>
      </x:c>
      <x:c r="G255" s="30" t="n">
        <x:f>IF(F255="","",FLOOR(INT(F255*'Price rules'!$B$5),'Price rules'!$B$9)+IF(MOD(INT(F255*'Price rules'!$B$5),'Price rules'!$B$9)&lt;'Price rules'!$B$10,0,'Price rules'!$B$9))</x:f>
        <x:v>255</x:v>
      </x:c>
      <x:c r="H255" s="30" t="n">
        <x:f>IF(F255="","",FLOOR(INT(F255*'Price rules'!$B$7),'Price rules'!$B$9)+IF(MOD(INT(F255*'Price rules'!$B$7),'Price rules'!$B$9)&lt;'Price rules'!$B$10,0,'Price rules'!$B$9))</x:f>
        <x:v>325</x:v>
      </x:c>
      <x:c r="I255" s="30" t="n">
        <x:f>IF(F255="","",FLOOR(INT(F255*'Price rules'!$B$8),'Price rules'!$B$9)+IF(MOD(INT(F255*'Price rules'!$B$8),'Price rules'!$B$9)&lt;'Price rules'!$B$10,0,'Price rules'!$B$9))</x:f>
        <x:v>360</x:v>
      </x:c>
      <x:c r="J255" s="30" t="n">
        <x:f>IF(N255="conditional","",SUMIFS($F$5:$F$394,$A$5:$A$394,A255,$C$5:$C$394,C255,$D$5:$D$394,"&lt;="&amp;D255)+SUMIF(Towers!$A$5:$A$30,A255,Towers!$E$5:$E$30))</x:f>
        <x:v>700</x:v>
      </x:c>
      <x:c r="K255" s="30"/>
      <x:c r="L255" s="25" t="str">
        <x:v>basic_dps</x:v>
      </x:c>
      <x:c r="M255" s="25" t="str">
        <x:v>Adds homing and range to shurikens.</x:v>
      </x:c>
      <x:c r="N255" s="25" t="str">
        <x:v>fixed_upgrade_price</x:v>
      </x:c>
      <x:c r="O255" s="30" t="n">
        <x:v>300</x:v>
      </x:c>
      <x:c r="P255" s="25" t="str">
        <x:v>https://raw.githubusercontent.com/Btd6ModHelper/btd6-game-data/main/Towers/NinjaMonkey/NinjaMonkey-001.json</x:v>
      </x:c>
      <x:c r="Q255" s="25" t="str">
        <x:v>https://raw.githubusercontent.com/hemisemidemipresent/cyberquincy/master/jsons/costs.json</x:v>
      </x:c>
      <x:c r="R255" s="25" t="str">
        <x:v>https://raw.githubusercontent.com/Btd6ModHelper/btd6-game-data/main/textTable.json</x:v>
      </x:c>
      <x:c r="S255" s="25"/>
      <x:c r="T255" s="25"/>
    </x:row>
    <x:row r="256" ht="64" customHeight="1">
      <x:c r="A256" s="25" t="str">
        <x:v>Ninja Monkey</x:v>
      </x:c>
      <x:c r="B256" s="80" t="str">
        <x:v>002</x:v>
      </x:c>
      <x:c r="C256" s="25" t="str">
        <x:v>bottom</x:v>
      </x:c>
      <x:c r="D256" s="25" t="n">
        <x:v>2</x:v>
      </x:c>
      <x:c r="E256" s="25" t="str">
        <x:v>Caltrops</x:v>
      </x:c>
      <x:c r="F256" s="30" t="n">
        <x:v>450</x:v>
      </x:c>
      <x:c r="G256" s="30" t="n">
        <x:f>IF(F256="","",FLOOR(INT(F256*'Price rules'!$B$5),'Price rules'!$B$9)+IF(MOD(INT(F256*'Price rules'!$B$5),'Price rules'!$B$9)&lt;'Price rules'!$B$10,0,'Price rules'!$B$9))</x:f>
        <x:v>380</x:v>
      </x:c>
      <x:c r="H256" s="30" t="n">
        <x:f>IF(F256="","",FLOOR(INT(F256*'Price rules'!$B$7),'Price rules'!$B$9)+IF(MOD(INT(F256*'Price rules'!$B$7),'Price rules'!$B$9)&lt;'Price rules'!$B$10,0,'Price rules'!$B$9))</x:f>
        <x:v>485</x:v>
      </x:c>
      <x:c r="I256" s="30" t="n">
        <x:f>IF(F256="","",FLOOR(INT(F256*'Price rules'!$B$8),'Price rules'!$B$9)+IF(MOD(INT(F256*'Price rules'!$B$8),'Price rules'!$B$9)&lt;'Price rules'!$B$10,0,'Price rules'!$B$9))</x:f>
        <x:v>540</x:v>
      </x:c>
      <x:c r="J256" s="30" t="n">
        <x:f>IF(N256="conditional","",SUMIFS($F$5:$F$394,$A$5:$A$394,A256,$C$5:$C$394,C256,$D$5:$D$394,"&lt;="&amp;D256)+SUMIF(Towers!$A$5:$A$30,A256,Towers!$E$5:$E$30))</x:f>
        <x:v>1150</x:v>
      </x:c>
      <x:c r="K256" s="30"/>
      <x:c r="L256" s="25" t="str">
        <x:v>basic_dps</x:v>
      </x:c>
      <x:c r="M256" s="25" t="str">
        <x:v>Drops damaging caltrops onto the nearby track.</x:v>
      </x:c>
      <x:c r="N256" s="25" t="str">
        <x:v>fixed_upgrade_price</x:v>
      </x:c>
      <x:c r="O256" s="30" t="n">
        <x:v>450</x:v>
      </x:c>
      <x:c r="P256" s="25" t="str">
        <x:v>https://raw.githubusercontent.com/Btd6ModHelper/btd6-game-data/main/Towers/NinjaMonkey/NinjaMonkey-002.json</x:v>
      </x:c>
      <x:c r="Q256" s="25" t="str">
        <x:v>https://raw.githubusercontent.com/hemisemidemipresent/cyberquincy/master/jsons/costs.json</x:v>
      </x:c>
      <x:c r="R256" s="25" t="str">
        <x:v>https://raw.githubusercontent.com/Btd6ModHelper/btd6-game-data/main/textTable.json</x:v>
      </x:c>
      <x:c r="S256" s="25"/>
      <x:c r="T256" s="25"/>
    </x:row>
    <x:row r="257" ht="64" customHeight="1">
      <x:c r="A257" s="25" t="str">
        <x:v>Ninja Monkey</x:v>
      </x:c>
      <x:c r="B257" s="80" t="str">
        <x:v>003</x:v>
      </x:c>
      <x:c r="C257" s="25" t="str">
        <x:v>bottom</x:v>
      </x:c>
      <x:c r="D257" s="25" t="n">
        <x:v>3</x:v>
      </x:c>
      <x:c r="E257" s="25" t="str">
        <x:v>Flash Bomb</x:v>
      </x:c>
      <x:c r="F257" s="30" t="n">
        <x:v>2250</x:v>
      </x:c>
      <x:c r="G257" s="30" t="n">
        <x:f>IF(F257="","",FLOOR(INT(F257*'Price rules'!$B$5),'Price rules'!$B$9)+IF(MOD(INT(F257*'Price rules'!$B$5),'Price rules'!$B$9)&lt;'Price rules'!$B$10,0,'Price rules'!$B$9))</x:f>
        <x:v>1910</x:v>
      </x:c>
      <x:c r="H257" s="30" t="n">
        <x:f>IF(F257="","",FLOOR(INT(F257*'Price rules'!$B$7),'Price rules'!$B$9)+IF(MOD(INT(F257*'Price rules'!$B$7),'Price rules'!$B$9)&lt;'Price rules'!$B$10,0,'Price rules'!$B$9))</x:f>
        <x:v>2430</x:v>
      </x:c>
      <x:c r="I257" s="30" t="n">
        <x:f>IF(F257="","",FLOOR(INT(F257*'Price rules'!$B$8),'Price rules'!$B$9)+IF(MOD(INT(F257*'Price rules'!$B$8),'Price rules'!$B$9)&lt;'Price rules'!$B$10,0,'Price rules'!$B$9))</x:f>
        <x:v>2700</x:v>
      </x:c>
      <x:c r="J257" s="30" t="n">
        <x:f>IF(N257="conditional","",SUMIFS($F$5:$F$394,$A$5:$A$394,A257,$C$5:$C$394,C257,$D$5:$D$394,"&lt;="&amp;D257)+SUMIF(Towers!$A$5:$A$30,A257,Towers!$E$5:$E$30))</x:f>
        <x:v>3400</x:v>
      </x:c>
      <x:c r="K257" s="30"/>
      <x:c r="L257" s="25" t="str">
        <x:v>status</x:v>
      </x:c>
      <x:c r="M257" s="25" t="str">
        <x:v>Adds a stunning bomb attack and improves damage against stunned targets.</x:v>
      </x:c>
      <x:c r="N257" s="25" t="str">
        <x:v>fixed_upgrade_price</x:v>
      </x:c>
      <x:c r="O257" s="30" t="n">
        <x:v>2250</x:v>
      </x:c>
      <x:c r="P257" s="25" t="str">
        <x:v>https://raw.githubusercontent.com/Btd6ModHelper/btd6-game-data/main/Towers/NinjaMonkey/NinjaMonkey-003.json</x:v>
      </x:c>
      <x:c r="Q257" s="25" t="str">
        <x:v>https://raw.githubusercontent.com/hemisemidemipresent/cyberquincy/master/jsons/costs.json</x:v>
      </x:c>
      <x:c r="R257" s="25" t="str">
        <x:v>https://raw.githubusercontent.com/Btd6ModHelper/btd6-game-data/main/textTable.json</x:v>
      </x:c>
      <x:c r="S257" s="25"/>
      <x:c r="T257" s="25"/>
    </x:row>
    <x:row r="258" ht="64" customHeight="1">
      <x:c r="A258" s="25" t="str">
        <x:v>Ninja Monkey</x:v>
      </x:c>
      <x:c r="B258" s="80" t="str">
        <x:v>004</x:v>
      </x:c>
      <x:c r="C258" s="25" t="str">
        <x:v>bottom</x:v>
      </x:c>
      <x:c r="D258" s="25" t="n">
        <x:v>4</x:v>
      </x:c>
      <x:c r="E258" s="25" t="str">
        <x:v>Sticky Bomb</x:v>
      </x:c>
      <x:c r="F258" s="30" t="n">
        <x:v>5000</x:v>
      </x:c>
      <x:c r="G258" s="30" t="n">
        <x:f>IF(F258="","",FLOOR(INT(F258*'Price rules'!$B$5),'Price rules'!$B$9)+IF(MOD(INT(F258*'Price rules'!$B$5),'Price rules'!$B$9)&lt;'Price rules'!$B$10,0,'Price rules'!$B$9))</x:f>
        <x:v>4250</x:v>
      </x:c>
      <x:c r="H258" s="30" t="n">
        <x:f>IF(F258="","",FLOOR(INT(F258*'Price rules'!$B$7),'Price rules'!$B$9)+IF(MOD(INT(F258*'Price rules'!$B$7),'Price rules'!$B$9)&lt;'Price rules'!$B$10,0,'Price rules'!$B$9))</x:f>
        <x:v>5400</x:v>
      </x:c>
      <x:c r="I258" s="30" t="n">
        <x:f>IF(F258="","",FLOOR(INT(F258*'Price rules'!$B$8),'Price rules'!$B$9)+IF(MOD(INT(F258*'Price rules'!$B$8),'Price rules'!$B$9)&lt;'Price rules'!$B$10,0,'Price rules'!$B$9))</x:f>
        <x:v>6000</x:v>
      </x:c>
      <x:c r="J258" s="30" t="n">
        <x:f>IF(N258="conditional","",SUMIFS($F$5:$F$394,$A$5:$A$394,A258,$C$5:$C$394,C258,$D$5:$D$394,"&lt;="&amp;D258)+SUMIF(Towers!$A$5:$A$30,A258,Towers!$E$5:$E$30))</x:f>
        <x:v>8400</x:v>
      </x:c>
      <x:c r="K258" s="30"/>
      <x:c r="L258" s="25" t="str">
        <x:v>tank_killer</x:v>
      </x:c>
      <x:c r="M258" s="25" t="str">
        <x:v>Attaches delayed-explosion bombs to MOAB-class targets.</x:v>
      </x:c>
      <x:c r="N258" s="25" t="str">
        <x:v>fixed_upgrade_price</x:v>
      </x:c>
      <x:c r="O258" s="30" t="n">
        <x:v>5000</x:v>
      </x:c>
      <x:c r="P258" s="25" t="str">
        <x:v>https://raw.githubusercontent.com/Btd6ModHelper/btd6-game-data/main/Towers/NinjaMonkey/NinjaMonkey-004.json</x:v>
      </x:c>
      <x:c r="Q258" s="25" t="str">
        <x:v>https://raw.githubusercontent.com/hemisemidemipresent/cyberquincy/master/jsons/costs.json</x:v>
      </x:c>
      <x:c r="R258" s="25" t="str">
        <x:v>https://raw.githubusercontent.com/Btd6ModHelper/btd6-game-data/main/textTable.json</x:v>
      </x:c>
      <x:c r="S258" s="25"/>
      <x:c r="T258" s="25"/>
    </x:row>
    <x:row r="259" ht="64" customHeight="1">
      <x:c r="A259" s="25" t="str">
        <x:v>Ninja Monkey</x:v>
      </x:c>
      <x:c r="B259" s="80" t="str">
        <x:v>005</x:v>
      </x:c>
      <x:c r="C259" s="25" t="str">
        <x:v>bottom</x:v>
      </x:c>
      <x:c r="D259" s="25" t="n">
        <x:v>5</x:v>
      </x:c>
      <x:c r="E259" s="25" t="str">
        <x:v>Master Bomber</x:v>
      </x:c>
      <x:c r="F259" s="30" t="n">
        <x:v>40000</x:v>
      </x:c>
      <x:c r="G259" s="30" t="n">
        <x:f>IF(F259="","",FLOOR(INT(F259*'Price rules'!$B$5),'Price rules'!$B$9)+IF(MOD(INT(F259*'Price rules'!$B$5),'Price rules'!$B$9)&lt;'Price rules'!$B$10,0,'Price rules'!$B$9))</x:f>
        <x:v>34000</x:v>
      </x:c>
      <x:c r="H259" s="30" t="n">
        <x:f>IF(F259="","",FLOOR(INT(F259*'Price rules'!$B$7),'Price rules'!$B$9)+IF(MOD(INT(F259*'Price rules'!$B$7),'Price rules'!$B$9)&lt;'Price rules'!$B$10,0,'Price rules'!$B$9))</x:f>
        <x:v>43200</x:v>
      </x:c>
      <x:c r="I259" s="30" t="n">
        <x:f>IF(F259="","",FLOOR(INT(F259*'Price rules'!$B$8),'Price rules'!$B$9)+IF(MOD(INT(F259*'Price rules'!$B$8),'Price rules'!$B$9)&lt;'Price rules'!$B$10,0,'Price rules'!$B$9))</x:f>
        <x:v>48000</x:v>
      </x:c>
      <x:c r="J259" s="30" t="n">
        <x:f>IF(N259="conditional","",SUMIFS($F$5:$F$394,$A$5:$A$394,A259,$C$5:$C$394,C259,$D$5:$D$394,"&lt;="&amp;D259)+SUMIF(Towers!$A$5:$A$30,A259,Towers!$E$5:$E$30))</x:f>
        <x:v>48400</x:v>
      </x:c>
      <x:c r="K259" s="30"/>
      <x:c r="L259" s="25" t="str">
        <x:v>tank_killer</x:v>
      </x:c>
      <x:c r="M259" s="25" t="str">
        <x:v>Greatly strengthens the anti-MOAB bomb attacks.</x:v>
      </x:c>
      <x:c r="N259" s="25" t="str">
        <x:v>fixed_upgrade_price</x:v>
      </x:c>
      <x:c r="O259" s="30" t="n">
        <x:v>40000</x:v>
      </x:c>
      <x:c r="P259" s="25" t="str">
        <x:v>https://raw.githubusercontent.com/Btd6ModHelper/btd6-game-data/main/Towers/NinjaMonkey/NinjaMonkey-005.json</x:v>
      </x:c>
      <x:c r="Q259" s="25" t="str">
        <x:v>https://raw.githubusercontent.com/hemisemidemipresent/cyberquincy/master/jsons/costs.json</x:v>
      </x:c>
      <x:c r="R259" s="25" t="str">
        <x:v>https://raw.githubusercontent.com/Btd6ModHelper/btd6-game-data/main/textTable.json</x:v>
      </x:c>
      <x:c r="S259" s="25"/>
      <x:c r="T259" s="25"/>
    </x:row>
    <x:row r="260" ht="64" customHeight="1">
      <x:c r="A260" s="25" t="str">
        <x:v>Alchemist</x:v>
      </x:c>
      <x:c r="B260" s="80" t="str">
        <x:v>100</x:v>
      </x:c>
      <x:c r="C260" s="25" t="str">
        <x:v>top</x:v>
      </x:c>
      <x:c r="D260" s="25" t="n">
        <x:v>1</x:v>
      </x:c>
      <x:c r="E260" s="25" t="str">
        <x:v>Larger Potions</x:v>
      </x:c>
      <x:c r="F260" s="30" t="n">
        <x:v>250</x:v>
      </x:c>
      <x:c r="G260" s="30" t="n">
        <x:f>IF(F260="","",FLOOR(INT(F260*'Price rules'!$B$5),'Price rules'!$B$9)+IF(MOD(INT(F260*'Price rules'!$B$5),'Price rules'!$B$9)&lt;'Price rules'!$B$10,0,'Price rules'!$B$9))</x:f>
        <x:v>210</x:v>
      </x:c>
      <x:c r="H260" s="30" t="n">
        <x:f>IF(F260="","",FLOOR(INT(F260*'Price rules'!$B$7),'Price rules'!$B$9)+IF(MOD(INT(F260*'Price rules'!$B$7),'Price rules'!$B$9)&lt;'Price rules'!$B$10,0,'Price rules'!$B$9))</x:f>
        <x:v>270</x:v>
      </x:c>
      <x:c r="I260" s="30" t="n">
        <x:f>IF(F260="","",FLOOR(INT(F260*'Price rules'!$B$8),'Price rules'!$B$9)+IF(MOD(INT(F260*'Price rules'!$B$8),'Price rules'!$B$9)&lt;'Price rules'!$B$10,0,'Price rules'!$B$9))</x:f>
        <x:v>300</x:v>
      </x:c>
      <x:c r="J260" s="30" t="n">
        <x:f>IF(N260="conditional","",SUMIFS($F$5:$F$394,$A$5:$A$394,A260,$C$5:$C$394,C260,$D$5:$D$394,"&lt;="&amp;D260)+SUMIF(Towers!$A$5:$A$30,A260,Towers!$E$5:$E$30))</x:f>
        <x:v>800</x:v>
      </x:c>
      <x:c r="K260" s="30"/>
      <x:c r="L260" s="25" t="str">
        <x:v>status</x:v>
      </x:c>
      <x:c r="M260" s="25" t="str">
        <x:v>Increases potion splash coverage.</x:v>
      </x:c>
      <x:c r="N260" s="25" t="str">
        <x:v>fixed_upgrade_price</x:v>
      </x:c>
      <x:c r="O260" s="30" t="n">
        <x:v>250</x:v>
      </x:c>
      <x:c r="P260" s="25" t="str">
        <x:v>https://raw.githubusercontent.com/Btd6ModHelper/btd6-game-data/main/Towers/Alchemist/Alchemist-100.json</x:v>
      </x:c>
      <x:c r="Q260" s="25" t="str">
        <x:v>https://raw.githubusercontent.com/hemisemidemipresent/cyberquincy/master/jsons/costs.json</x:v>
      </x:c>
      <x:c r="R260" s="25" t="str">
        <x:v>https://raw.githubusercontent.com/Btd6ModHelper/btd6-game-data/main/textTable.json</x:v>
      </x:c>
      <x:c r="S260" s="25"/>
      <x:c r="T260" s="25"/>
    </x:row>
    <x:row r="261" ht="64" customHeight="1">
      <x:c r="A261" s="25" t="str">
        <x:v>Alchemist</x:v>
      </x:c>
      <x:c r="B261" s="80" t="str">
        <x:v>200</x:v>
      </x:c>
      <x:c r="C261" s="25" t="str">
        <x:v>top</x:v>
      </x:c>
      <x:c r="D261" s="25" t="n">
        <x:v>2</x:v>
      </x:c>
      <x:c r="E261" s="25" t="str">
        <x:v>Acidic Mixture Dip</x:v>
      </x:c>
      <x:c r="F261" s="30" t="n">
        <x:v>350</x:v>
      </x:c>
      <x:c r="G261" s="30" t="n">
        <x:f>IF(F261="","",FLOOR(INT(F261*'Price rules'!$B$5),'Price rules'!$B$9)+IF(MOD(INT(F261*'Price rules'!$B$5),'Price rules'!$B$9)&lt;'Price rules'!$B$10,0,'Price rules'!$B$9))</x:f>
        <x:v>295</x:v>
      </x:c>
      <x:c r="H261" s="30" t="n">
        <x:f>IF(F261="","",FLOOR(INT(F261*'Price rules'!$B$7),'Price rules'!$B$9)+IF(MOD(INT(F261*'Price rules'!$B$7),'Price rules'!$B$9)&lt;'Price rules'!$B$10,0,'Price rules'!$B$9))</x:f>
        <x:v>380</x:v>
      </x:c>
      <x:c r="I261" s="30" t="n">
        <x:f>IF(F261="","",FLOOR(INT(F261*'Price rules'!$B$8),'Price rules'!$B$9)+IF(MOD(INT(F261*'Price rules'!$B$8),'Price rules'!$B$9)&lt;'Price rules'!$B$10,0,'Price rules'!$B$9))</x:f>
        <x:v>420</x:v>
      </x:c>
      <x:c r="J261" s="30" t="n">
        <x:f>IF(N261="conditional","",SUMIFS($F$5:$F$394,$A$5:$A$394,A261,$C$5:$C$394,C261,$D$5:$D$394,"&lt;="&amp;D261)+SUMIF(Towers!$A$5:$A$30,A261,Towers!$E$5:$E$30))</x:f>
        <x:v>1150</x:v>
      </x:c>
      <x:c r="K261" s="30"/>
      <x:c r="L261" s="25" t="str">
        <x:v>status</x:v>
      </x:c>
      <x:c r="M261" s="25" t="str">
        <x:v>Temporarily lets a nearby tower damage Lead and deal bonus Ceramic and MOAB-class damage.</x:v>
      </x:c>
      <x:c r="N261" s="25" t="str">
        <x:v>fixed_upgrade_price</x:v>
      </x:c>
      <x:c r="O261" s="30" t="n">
        <x:v>350</x:v>
      </x:c>
      <x:c r="P261" s="25" t="str">
        <x:v>https://raw.githubusercontent.com/Btd6ModHelper/btd6-game-data/main/Towers/Alchemist/Alchemist-200.json</x:v>
      </x:c>
      <x:c r="Q261" s="25" t="str">
        <x:v>https://raw.githubusercontent.com/hemisemidemipresent/cyberquincy/master/jsons/costs.json</x:v>
      </x:c>
      <x:c r="R261" s="25" t="str">
        <x:v>https://raw.githubusercontent.com/Btd6ModHelper/btd6-game-data/main/textTable.json</x:v>
      </x:c>
      <x:c r="S261" s="25"/>
      <x:c r="T261" s="25"/>
    </x:row>
    <x:row r="262" ht="64" customHeight="1">
      <x:c r="A262" s="25" t="str">
        <x:v>Alchemist</x:v>
      </x:c>
      <x:c r="B262" s="80" t="str">
        <x:v>300</x:v>
      </x:c>
      <x:c r="C262" s="25" t="str">
        <x:v>top</x:v>
      </x:c>
      <x:c r="D262" s="25" t="n">
        <x:v>3</x:v>
      </x:c>
      <x:c r="E262" s="25" t="str">
        <x:v>Berserker Brew</x:v>
      </x:c>
      <x:c r="F262" s="30" t="n">
        <x:v>1400</x:v>
      </x:c>
      <x:c r="G262" s="30" t="n">
        <x:f>IF(F262="","",FLOOR(INT(F262*'Price rules'!$B$5),'Price rules'!$B$9)+IF(MOD(INT(F262*'Price rules'!$B$5),'Price rules'!$B$9)&lt;'Price rules'!$B$10,0,'Price rules'!$B$9))</x:f>
        <x:v>1190</x:v>
      </x:c>
      <x:c r="H262" s="30" t="n">
        <x:f>IF(F262="","",FLOOR(INT(F262*'Price rules'!$B$7),'Price rules'!$B$9)+IF(MOD(INT(F262*'Price rules'!$B$7),'Price rules'!$B$9)&lt;'Price rules'!$B$10,0,'Price rules'!$B$9))</x:f>
        <x:v>1510</x:v>
      </x:c>
      <x:c r="I262" s="30" t="n">
        <x:f>IF(F262="","",FLOOR(INT(F262*'Price rules'!$B$8),'Price rules'!$B$9)+IF(MOD(INT(F262*'Price rules'!$B$8),'Price rules'!$B$9)&lt;'Price rules'!$B$10,0,'Price rules'!$B$9))</x:f>
        <x:v>1680</x:v>
      </x:c>
      <x:c r="J262" s="30" t="n">
        <x:f>IF(N262="conditional","",SUMIFS($F$5:$F$394,$A$5:$A$394,A262,$C$5:$C$394,C262,$D$5:$D$394,"&lt;="&amp;D262)+SUMIF(Towers!$A$5:$A$30,A262,Towers!$E$5:$E$30))</x:f>
        <x:v>2550</x:v>
      </x:c>
      <x:c r="K262" s="30"/>
      <x:c r="L262" s="25" t="str">
        <x:v>support</x:v>
      </x:c>
      <x:c r="M262" s="25" t="str">
        <x:v>Adds temporary damage, range, and attack-speed buffs for nearby towers.</x:v>
      </x:c>
      <x:c r="N262" s="25" t="str">
        <x:v>fixed_upgrade_price</x:v>
      </x:c>
      <x:c r="O262" s="30" t="n">
        <x:v>1400</x:v>
      </x:c>
      <x:c r="P262" s="25" t="str">
        <x:v>https://raw.githubusercontent.com/Btd6ModHelper/btd6-game-data/main/Towers/Alchemist/Alchemist-300.json</x:v>
      </x:c>
      <x:c r="Q262" s="25" t="str">
        <x:v>https://raw.githubusercontent.com/hemisemidemipresent/cyberquincy/master/jsons/costs.json</x:v>
      </x:c>
      <x:c r="R262" s="25" t="str">
        <x:v>https://raw.githubusercontent.com/Btd6ModHelper/btd6-game-data/main/textTable.json</x:v>
      </x:c>
      <x:c r="S262" s="25"/>
      <x:c r="T262" s="25"/>
    </x:row>
    <x:row r="263" ht="64" customHeight="1">
      <x:c r="A263" s="25" t="str">
        <x:v>Alchemist</x:v>
      </x:c>
      <x:c r="B263" s="80" t="str">
        <x:v>400</x:v>
      </x:c>
      <x:c r="C263" s="25" t="str">
        <x:v>top</x:v>
      </x:c>
      <x:c r="D263" s="25" t="n">
        <x:v>4</x:v>
      </x:c>
      <x:c r="E263" s="25" t="str">
        <x:v>Stronger Stimulant</x:v>
      </x:c>
      <x:c r="F263" s="30" t="n">
        <x:v>2850</x:v>
      </x:c>
      <x:c r="G263" s="30" t="n">
        <x:f>IF(F263="","",FLOOR(INT(F263*'Price rules'!$B$5),'Price rules'!$B$9)+IF(MOD(INT(F263*'Price rules'!$B$5),'Price rules'!$B$9)&lt;'Price rules'!$B$10,0,'Price rules'!$B$9))</x:f>
        <x:v>2420</x:v>
      </x:c>
      <x:c r="H263" s="30" t="n">
        <x:f>IF(F263="","",FLOOR(INT(F263*'Price rules'!$B$7),'Price rules'!$B$9)+IF(MOD(INT(F263*'Price rules'!$B$7),'Price rules'!$B$9)&lt;'Price rules'!$B$10,0,'Price rules'!$B$9))</x:f>
        <x:v>3080</x:v>
      </x:c>
      <x:c r="I263" s="30" t="n">
        <x:f>IF(F263="","",FLOOR(INT(F263*'Price rules'!$B$8),'Price rules'!$B$9)+IF(MOD(INT(F263*'Price rules'!$B$8),'Price rules'!$B$9)&lt;'Price rules'!$B$10,0,'Price rules'!$B$9))</x:f>
        <x:v>3420</x:v>
      </x:c>
      <x:c r="J263" s="30" t="n">
        <x:f>IF(N263="conditional","",SUMIFS($F$5:$F$394,$A$5:$A$394,A263,$C$5:$C$394,C263,$D$5:$D$394,"&lt;="&amp;D263)+SUMIF(Towers!$A$5:$A$30,A263,Towers!$E$5:$E$30))</x:f>
        <x:v>5400</x:v>
      </x:c>
      <x:c r="K263" s="30"/>
      <x:c r="L263" s="25" t="str">
        <x:v>support</x:v>
      </x:c>
      <x:c r="M263" s="25" t="str">
        <x:v>Strengthens the brew buff.</x:v>
      </x:c>
      <x:c r="N263" s="25" t="str">
        <x:v>fixed_upgrade_price</x:v>
      </x:c>
      <x:c r="O263" s="30" t="n">
        <x:v>2850</x:v>
      </x:c>
      <x:c r="P263" s="25" t="str">
        <x:v>https://raw.githubusercontent.com/Btd6ModHelper/btd6-game-data/main/Towers/Alchemist/Alchemist-400.json</x:v>
      </x:c>
      <x:c r="Q263" s="25" t="str">
        <x:v>https://raw.githubusercontent.com/hemisemidemipresent/cyberquincy/master/jsons/costs.json</x:v>
      </x:c>
      <x:c r="R263" s="25" t="str">
        <x:v>https://raw.githubusercontent.com/Btd6ModHelper/btd6-game-data/main/textTable.json</x:v>
      </x:c>
      <x:c r="S263" s="25"/>
      <x:c r="T263" s="25"/>
    </x:row>
    <x:row r="264" ht="64" customHeight="1">
      <x:c r="A264" s="25" t="str">
        <x:v>Alchemist</x:v>
      </x:c>
      <x:c r="B264" s="80" t="str">
        <x:v>500</x:v>
      </x:c>
      <x:c r="C264" s="25" t="str">
        <x:v>top</x:v>
      </x:c>
      <x:c r="D264" s="25" t="n">
        <x:v>5</x:v>
      </x:c>
      <x:c r="E264" s="25" t="str">
        <x:v>Permanent Brew</x:v>
      </x:c>
      <x:c r="F264" s="30" t="n">
        <x:v>48000</x:v>
      </x:c>
      <x:c r="G264" s="30" t="n">
        <x:f>IF(F264="","",FLOOR(INT(F264*'Price rules'!$B$5),'Price rules'!$B$9)+IF(MOD(INT(F264*'Price rules'!$B$5),'Price rules'!$B$9)&lt;'Price rules'!$B$10,0,'Price rules'!$B$9))</x:f>
        <x:v>40800</x:v>
      </x:c>
      <x:c r="H264" s="30" t="n">
        <x:f>IF(F264="","",FLOOR(INT(F264*'Price rules'!$B$7),'Price rules'!$B$9)+IF(MOD(INT(F264*'Price rules'!$B$7),'Price rules'!$B$9)&lt;'Price rules'!$B$10,0,'Price rules'!$B$9))</x:f>
        <x:v>51840</x:v>
      </x:c>
      <x:c r="I264" s="30" t="n">
        <x:f>IF(F264="","",FLOOR(INT(F264*'Price rules'!$B$8),'Price rules'!$B$9)+IF(MOD(INT(F264*'Price rules'!$B$8),'Price rules'!$B$9)&lt;'Price rules'!$B$10,0,'Price rules'!$B$9))</x:f>
        <x:v>57600</x:v>
      </x:c>
      <x:c r="J264" s="30" t="n">
        <x:f>IF(N264="conditional","",SUMIFS($F$5:$F$394,$A$5:$A$394,A264,$C$5:$C$394,C264,$D$5:$D$394,"&lt;="&amp;D264)+SUMIF(Towers!$A$5:$A$30,A264,Towers!$E$5:$E$30))</x:f>
        <x:v>53400</x:v>
      </x:c>
      <x:c r="K264" s="30"/>
      <x:c r="L264" s="25" t="str">
        <x:v>support</x:v>
      </x:c>
      <x:c r="M264" s="25" t="str">
        <x:v>Makes brew and acidic-mixture buffs persistent on affected towers.</x:v>
      </x:c>
      <x:c r="N264" s="25" t="str">
        <x:v>fixed_upgrade_price</x:v>
      </x:c>
      <x:c r="O264" s="30" t="n">
        <x:v>48000</x:v>
      </x:c>
      <x:c r="P264" s="25" t="str">
        <x:v>https://raw.githubusercontent.com/Btd6ModHelper/btd6-game-data/main/Towers/Alchemist/Alchemist-500.json</x:v>
      </x:c>
      <x:c r="Q264" s="25" t="str">
        <x:v>https://raw.githubusercontent.com/hemisemidemipresent/cyberquincy/master/jsons/costs.json</x:v>
      </x:c>
      <x:c r="R264" s="25" t="str">
        <x:v>https://raw.githubusercontent.com/Btd6ModHelper/btd6-game-data/main/textTable.json</x:v>
      </x:c>
      <x:c r="S264" s="25"/>
      <x:c r="T264" s="25"/>
    </x:row>
    <x:row r="265" ht="64" customHeight="1">
      <x:c r="A265" s="25" t="str">
        <x:v>Alchemist</x:v>
      </x:c>
      <x:c r="B265" s="80" t="str">
        <x:v>010</x:v>
      </x:c>
      <x:c r="C265" s="25" t="str">
        <x:v>middle</x:v>
      </x:c>
      <x:c r="D265" s="25" t="n">
        <x:v>1</x:v>
      </x:c>
      <x:c r="E265" s="25" t="str">
        <x:v>Stronger Acid</x:v>
      </x:c>
      <x:c r="F265" s="30" t="n">
        <x:v>250</x:v>
      </x:c>
      <x:c r="G265" s="30" t="n">
        <x:f>IF(F265="","",FLOOR(INT(F265*'Price rules'!$B$5),'Price rules'!$B$9)+IF(MOD(INT(F265*'Price rules'!$B$5),'Price rules'!$B$9)&lt;'Price rules'!$B$10,0,'Price rules'!$B$9))</x:f>
        <x:v>210</x:v>
      </x:c>
      <x:c r="H265" s="30" t="n">
        <x:f>IF(F265="","",FLOOR(INT(F265*'Price rules'!$B$7),'Price rules'!$B$9)+IF(MOD(INT(F265*'Price rules'!$B$7),'Price rules'!$B$9)&lt;'Price rules'!$B$10,0,'Price rules'!$B$9))</x:f>
        <x:v>270</x:v>
      </x:c>
      <x:c r="I265" s="30" t="n">
        <x:f>IF(F265="","",FLOOR(INT(F265*'Price rules'!$B$8),'Price rules'!$B$9)+IF(MOD(INT(F265*'Price rules'!$B$8),'Price rules'!$B$9)&lt;'Price rules'!$B$10,0,'Price rules'!$B$9))</x:f>
        <x:v>300</x:v>
      </x:c>
      <x:c r="J265" s="30" t="n">
        <x:f>IF(N265="conditional","",SUMIFS($F$5:$F$394,$A$5:$A$394,A265,$C$5:$C$394,C265,$D$5:$D$394,"&lt;="&amp;D265)+SUMIF(Towers!$A$5:$A$30,A265,Towers!$E$5:$E$30))</x:f>
        <x:v>800</x:v>
      </x:c>
      <x:c r="K265" s="30"/>
      <x:c r="L265" s="25" t="str">
        <x:v>status</x:v>
      </x:c>
      <x:c r="M265" s="25" t="str">
        <x:v>Improves acid damage over time.</x:v>
      </x:c>
      <x:c r="N265" s="25" t="str">
        <x:v>fixed_upgrade_price</x:v>
      </x:c>
      <x:c r="O265" s="30" t="n">
        <x:v>250</x:v>
      </x:c>
      <x:c r="P265" s="25" t="str">
        <x:v>https://raw.githubusercontent.com/Btd6ModHelper/btd6-game-data/main/Towers/Alchemist/Alchemist-010.json</x:v>
      </x:c>
      <x:c r="Q265" s="25" t="str">
        <x:v>https://raw.githubusercontent.com/hemisemidemipresent/cyberquincy/master/jsons/costs.json</x:v>
      </x:c>
      <x:c r="R265" s="25" t="str">
        <x:v>https://raw.githubusercontent.com/Btd6ModHelper/btd6-game-data/main/textTable.json</x:v>
      </x:c>
      <x:c r="S265" s="25"/>
      <x:c r="T265" s="25"/>
    </x:row>
    <x:row r="266" ht="64" customHeight="1">
      <x:c r="A266" s="25" t="str">
        <x:v>Alchemist</x:v>
      </x:c>
      <x:c r="B266" s="80" t="str">
        <x:v>020</x:v>
      </x:c>
      <x:c r="C266" s="25" t="str">
        <x:v>middle</x:v>
      </x:c>
      <x:c r="D266" s="25" t="n">
        <x:v>2</x:v>
      </x:c>
      <x:c r="E266" s="25" t="str">
        <x:v>Perishing Potions</x:v>
      </x:c>
      <x:c r="F266" s="30" t="n">
        <x:v>475</x:v>
      </x:c>
      <x:c r="G266" s="30" t="n">
        <x:f>IF(F266="","",FLOOR(INT(F266*'Price rules'!$B$5),'Price rules'!$B$9)+IF(MOD(INT(F266*'Price rules'!$B$5),'Price rules'!$B$9)&lt;'Price rules'!$B$10,0,'Price rules'!$B$9))</x:f>
        <x:v>405</x:v>
      </x:c>
      <x:c r="H266" s="30" t="n">
        <x:f>IF(F266="","",FLOOR(INT(F266*'Price rules'!$B$7),'Price rules'!$B$9)+IF(MOD(INT(F266*'Price rules'!$B$7),'Price rules'!$B$9)&lt;'Price rules'!$B$10,0,'Price rules'!$B$9))</x:f>
        <x:v>515</x:v>
      </x:c>
      <x:c r="I266" s="30" t="n">
        <x:f>IF(F266="","",FLOOR(INT(F266*'Price rules'!$B$8),'Price rules'!$B$9)+IF(MOD(INT(F266*'Price rules'!$B$8),'Price rules'!$B$9)&lt;'Price rules'!$B$10,0,'Price rules'!$B$9))</x:f>
        <x:v>570</x:v>
      </x:c>
      <x:c r="J266" s="30" t="n">
        <x:f>IF(N266="conditional","",SUMIFS($F$5:$F$394,$A$5:$A$394,A266,$C$5:$C$394,C266,$D$5:$D$394,"&lt;="&amp;D266)+SUMIF(Towers!$A$5:$A$30,A266,Towers!$E$5:$E$30))</x:f>
        <x:v>1275</x:v>
      </x:c>
      <x:c r="K266" s="30"/>
      <x:c r="L266" s="25" t="str">
        <x:v>status</x:v>
      </x:c>
      <x:c r="M266" s="25" t="str">
        <x:v>Improves anti-MOAB potion damage, removes eligible Fortified properties, and improves potion buffs.</x:v>
      </x:c>
      <x:c r="N266" s="25" t="str">
        <x:v>fixed_upgrade_price</x:v>
      </x:c>
      <x:c r="O266" s="30" t="n">
        <x:v>475</x:v>
      </x:c>
      <x:c r="P266" s="25" t="str">
        <x:v>https://raw.githubusercontent.com/Btd6ModHelper/btd6-game-data/main/Towers/Alchemist/Alchemist-020.json</x:v>
      </x:c>
      <x:c r="Q266" s="25" t="str">
        <x:v>https://raw.githubusercontent.com/hemisemidemipresent/cyberquincy/master/jsons/costs.json</x:v>
      </x:c>
      <x:c r="R266" s="25" t="str">
        <x:v>https://raw.githubusercontent.com/Btd6ModHelper/btd6-game-data/main/textTable.json</x:v>
      </x:c>
      <x:c r="S266" s="25"/>
      <x:c r="T266" s="25"/>
    </x:row>
    <x:row r="267" ht="64" customHeight="1">
      <x:c r="A267" s="25" t="str">
        <x:v>Alchemist</x:v>
      </x:c>
      <x:c r="B267" s="80" t="str">
        <x:v>030</x:v>
      </x:c>
      <x:c r="C267" s="25" t="str">
        <x:v>middle</x:v>
      </x:c>
      <x:c r="D267" s="25" t="n">
        <x:v>3</x:v>
      </x:c>
      <x:c r="E267" s="25" t="str">
        <x:v>Unstable Concoction</x:v>
      </x:c>
      <x:c r="F267" s="30" t="n">
        <x:v>2800</x:v>
      </x:c>
      <x:c r="G267" s="30" t="n">
        <x:f>IF(F267="","",FLOOR(INT(F267*'Price rules'!$B$5),'Price rules'!$B$9)+IF(MOD(INT(F267*'Price rules'!$B$5),'Price rules'!$B$9)&lt;'Price rules'!$B$10,0,'Price rules'!$B$9))</x:f>
        <x:v>2380</x:v>
      </x:c>
      <x:c r="H267" s="30" t="n">
        <x:f>IF(F267="","",FLOOR(INT(F267*'Price rules'!$B$7),'Price rules'!$B$9)+IF(MOD(INT(F267*'Price rules'!$B$7),'Price rules'!$B$9)&lt;'Price rules'!$B$10,0,'Price rules'!$B$9))</x:f>
        <x:v>3025</x:v>
      </x:c>
      <x:c r="I267" s="30" t="n">
        <x:f>IF(F267="","",FLOOR(INT(F267*'Price rules'!$B$8),'Price rules'!$B$9)+IF(MOD(INT(F267*'Price rules'!$B$8),'Price rules'!$B$9)&lt;'Price rules'!$B$10,0,'Price rules'!$B$9))</x:f>
        <x:v>3360</x:v>
      </x:c>
      <x:c r="J267" s="30" t="n">
        <x:f>IF(N267="conditional","",SUMIFS($F$5:$F$394,$A$5:$A$394,A267,$C$5:$C$394,C267,$D$5:$D$394,"&lt;="&amp;D267)+SUMIF(Towers!$A$5:$A$30,A267,Towers!$E$5:$E$30))</x:f>
        <x:v>4075</x:v>
      </x:c>
      <x:c r="K267" s="30"/>
      <x:c r="L267" s="25" t="str">
        <x:v>splash</x:v>
      </x:c>
      <x:c r="M267" s="25" t="str">
        <x:v>Marks MOAB-class targets so that destroying them causes an explosion.</x:v>
      </x:c>
      <x:c r="N267" s="25" t="str">
        <x:v>fixed_upgrade_price</x:v>
      </x:c>
      <x:c r="O267" s="30" t="n">
        <x:v>2800</x:v>
      </x:c>
      <x:c r="P267" s="25" t="str">
        <x:v>https://raw.githubusercontent.com/Btd6ModHelper/btd6-game-data/main/Towers/Alchemist/Alchemist-030.json</x:v>
      </x:c>
      <x:c r="Q267" s="25" t="str">
        <x:v>https://raw.githubusercontent.com/hemisemidemipresent/cyberquincy/master/jsons/costs.json</x:v>
      </x:c>
      <x:c r="R267" s="25" t="str">
        <x:v>https://raw.githubusercontent.com/Btd6ModHelper/btd6-game-data/main/textTable.json</x:v>
      </x:c>
      <x:c r="S267" s="25"/>
      <x:c r="T267" s="25"/>
    </x:row>
    <x:row r="268" ht="64" customHeight="1">
      <x:c r="A268" s="25" t="str">
        <x:v>Alchemist</x:v>
      </x:c>
      <x:c r="B268" s="80" t="str">
        <x:v>040</x:v>
      </x:c>
      <x:c r="C268" s="25" t="str">
        <x:v>middle</x:v>
      </x:c>
      <x:c r="D268" s="25" t="n">
        <x:v>4</x:v>
      </x:c>
      <x:c r="E268" s="25" t="str">
        <x:v>Transforming Tonic</x:v>
      </x:c>
      <x:c r="F268" s="30" t="n">
        <x:v>4200</x:v>
      </x:c>
      <x:c r="G268" s="30" t="n">
        <x:f>IF(F268="","",FLOOR(INT(F268*'Price rules'!$B$5),'Price rules'!$B$9)+IF(MOD(INT(F268*'Price rules'!$B$5),'Price rules'!$B$9)&lt;'Price rules'!$B$10,0,'Price rules'!$B$9))</x:f>
        <x:v>3570</x:v>
      </x:c>
      <x:c r="H268" s="30" t="n">
        <x:f>IF(F268="","",FLOOR(INT(F268*'Price rules'!$B$7),'Price rules'!$B$9)+IF(MOD(INT(F268*'Price rules'!$B$7),'Price rules'!$B$9)&lt;'Price rules'!$B$10,0,'Price rules'!$B$9))</x:f>
        <x:v>4535</x:v>
      </x:c>
      <x:c r="I268" s="30" t="n">
        <x:f>IF(F268="","",FLOOR(INT(F268*'Price rules'!$B$8),'Price rules'!$B$9)+IF(MOD(INT(F268*'Price rules'!$B$8),'Price rules'!$B$9)&lt;'Price rules'!$B$10,0,'Price rules'!$B$9))</x:f>
        <x:v>5040</x:v>
      </x:c>
      <x:c r="J268" s="30" t="n">
        <x:f>IF(N268="conditional","",SUMIFS($F$5:$F$394,$A$5:$A$394,A268,$C$5:$C$394,C268,$D$5:$D$394,"&lt;="&amp;D268)+SUMIF(Towers!$A$5:$A$30,A268,Towers!$E$5:$E$30))</x:f>
        <x:v>8275</x:v>
      </x:c>
      <x:c r="K268" s="30"/>
      <x:c r="L268" s="25" t="str">
        <x:v>rapid_fire</x:v>
      </x:c>
      <x:c r="M268" s="25" t="str">
        <x:v>Adds an ability that temporarily transforms the Alchemist into a rapid-attacking monster.</x:v>
      </x:c>
      <x:c r="N268" s="25" t="str">
        <x:v>fixed_upgrade_price</x:v>
      </x:c>
      <x:c r="O268" s="30" t="n">
        <x:v>4200</x:v>
      </x:c>
      <x:c r="P268" s="25" t="str">
        <x:v>https://raw.githubusercontent.com/Btd6ModHelper/btd6-game-data/main/Towers/Alchemist/Alchemist-040.json</x:v>
      </x:c>
      <x:c r="Q268" s="25" t="str">
        <x:v>https://raw.githubusercontent.com/hemisemidemipresent/cyberquincy/master/jsons/costs.json</x:v>
      </x:c>
      <x:c r="R268" s="25" t="str">
        <x:v>https://raw.githubusercontent.com/Btd6ModHelper/btd6-game-data/main/textTable.json</x:v>
      </x:c>
      <x:c r="S268" s="25"/>
      <x:c r="T268" s="25"/>
    </x:row>
    <x:row r="269" ht="64" customHeight="1">
      <x:c r="A269" s="25" t="str">
        <x:v>Alchemist</x:v>
      </x:c>
      <x:c r="B269" s="80" t="str">
        <x:v>050</x:v>
      </x:c>
      <x:c r="C269" s="25" t="str">
        <x:v>middle</x:v>
      </x:c>
      <x:c r="D269" s="25" t="n">
        <x:v>5</x:v>
      </x:c>
      <x:c r="E269" s="25" t="str">
        <x:v>Total Transformation</x:v>
      </x:c>
      <x:c r="F269" s="30" t="n">
        <x:v>45000</x:v>
      </x:c>
      <x:c r="G269" s="30" t="n">
        <x:f>IF(F269="","",FLOOR(INT(F269*'Price rules'!$B$5),'Price rules'!$B$9)+IF(MOD(INT(F269*'Price rules'!$B$5),'Price rules'!$B$9)&lt;'Price rules'!$B$10,0,'Price rules'!$B$9))</x:f>
        <x:v>38250</x:v>
      </x:c>
      <x:c r="H269" s="30" t="n">
        <x:f>IF(F269="","",FLOOR(INT(F269*'Price rules'!$B$7),'Price rules'!$B$9)+IF(MOD(INT(F269*'Price rules'!$B$7),'Price rules'!$B$9)&lt;'Price rules'!$B$10,0,'Price rules'!$B$9))</x:f>
        <x:v>48600</x:v>
      </x:c>
      <x:c r="I269" s="30" t="n">
        <x:f>IF(F269="","",FLOOR(INT(F269*'Price rules'!$B$8),'Price rules'!$B$9)+IF(MOD(INT(F269*'Price rules'!$B$8),'Price rules'!$B$9)&lt;'Price rules'!$B$10,0,'Price rules'!$B$9))</x:f>
        <x:v>54000</x:v>
      </x:c>
      <x:c r="J269" s="30" t="n">
        <x:f>IF(N269="conditional","",SUMIFS($F$5:$F$394,$A$5:$A$394,A269,$C$5:$C$394,C269,$D$5:$D$394,"&lt;="&amp;D269)+SUMIF(Towers!$A$5:$A$30,A269,Towers!$E$5:$E$30))</x:f>
        <x:v>53275</x:v>
      </x:c>
      <x:c r="K269" s="30"/>
      <x:c r="L269" s="25" t="str">
        <x:v>rapid_fire</x:v>
      </x:c>
      <x:c r="M269" s="25" t="str">
        <x:v>Adds the ability to transform nearby eligible towers into attacking monsters.</x:v>
      </x:c>
      <x:c r="N269" s="25" t="str">
        <x:v>fixed_upgrade_price</x:v>
      </x:c>
      <x:c r="O269" s="30" t="n">
        <x:v>45000</x:v>
      </x:c>
      <x:c r="P269" s="25" t="str">
        <x:v>https://raw.githubusercontent.com/Btd6ModHelper/btd6-game-data/main/Towers/Alchemist/Alchemist-050.json</x:v>
      </x:c>
      <x:c r="Q269" s="25" t="str">
        <x:v>https://raw.githubusercontent.com/hemisemidemipresent/cyberquincy/master/jsons/costs.json</x:v>
      </x:c>
      <x:c r="R269" s="25" t="str">
        <x:v>https://raw.githubusercontent.com/Btd6ModHelper/btd6-game-data/main/textTable.json</x:v>
      </x:c>
      <x:c r="S269" s="25"/>
      <x:c r="T269" s="25"/>
    </x:row>
    <x:row r="270" ht="64" customHeight="1">
      <x:c r="A270" s="25" t="str">
        <x:v>Alchemist</x:v>
      </x:c>
      <x:c r="B270" s="80" t="str">
        <x:v>001</x:v>
      </x:c>
      <x:c r="C270" s="25" t="str">
        <x:v>bottom</x:v>
      </x:c>
      <x:c r="D270" s="25" t="n">
        <x:v>1</x:v>
      </x:c>
      <x:c r="E270" s="25" t="str">
        <x:v>Faster Throwing</x:v>
      </x:c>
      <x:c r="F270" s="30" t="n">
        <x:v>650</x:v>
      </x:c>
      <x:c r="G270" s="30" t="n">
        <x:f>IF(F270="","",FLOOR(INT(F270*'Price rules'!$B$5),'Price rules'!$B$9)+IF(MOD(INT(F270*'Price rules'!$B$5),'Price rules'!$B$9)&lt;'Price rules'!$B$10,0,'Price rules'!$B$9))</x:f>
        <x:v>550</x:v>
      </x:c>
      <x:c r="H270" s="30" t="n">
        <x:f>IF(F270="","",FLOOR(INT(F270*'Price rules'!$B$7),'Price rules'!$B$9)+IF(MOD(INT(F270*'Price rules'!$B$7),'Price rules'!$B$9)&lt;'Price rules'!$B$10,0,'Price rules'!$B$9))</x:f>
        <x:v>700</x:v>
      </x:c>
      <x:c r="I270" s="30" t="n">
        <x:f>IF(F270="","",FLOOR(INT(F270*'Price rules'!$B$8),'Price rules'!$B$9)+IF(MOD(INT(F270*'Price rules'!$B$8),'Price rules'!$B$9)&lt;'Price rules'!$B$10,0,'Price rules'!$B$9))</x:f>
        <x:v>780</x:v>
      </x:c>
      <x:c r="J270" s="30" t="n">
        <x:f>IF(N270="conditional","",SUMIFS($F$5:$F$394,$A$5:$A$394,A270,$C$5:$C$394,C270,$D$5:$D$394,"&lt;="&amp;D270)+SUMIF(Towers!$A$5:$A$30,A270,Towers!$E$5:$E$30))</x:f>
        <x:v>1200</x:v>
      </x:c>
      <x:c r="K270" s="30"/>
      <x:c r="L270" s="25" t="str">
        <x:v>status</x:v>
      </x:c>
      <x:c r="M270" s="25" t="str">
        <x:v>Increases potion throwing speed.</x:v>
      </x:c>
      <x:c r="N270" s="25" t="str">
        <x:v>fixed_upgrade_price</x:v>
      </x:c>
      <x:c r="O270" s="30" t="n">
        <x:v>650</x:v>
      </x:c>
      <x:c r="P270" s="25" t="str">
        <x:v>https://raw.githubusercontent.com/Btd6ModHelper/btd6-game-data/main/Towers/Alchemist/Alchemist-001.json</x:v>
      </x:c>
      <x:c r="Q270" s="25" t="str">
        <x:v>https://raw.githubusercontent.com/hemisemidemipresent/cyberquincy/master/jsons/costs.json</x:v>
      </x:c>
      <x:c r="R270" s="25" t="str">
        <x:v>https://raw.githubusercontent.com/Btd6ModHelper/btd6-game-data/main/textTable.json</x:v>
      </x:c>
      <x:c r="S270" s="25"/>
      <x:c r="T270" s="25"/>
    </x:row>
    <x:row r="271" ht="64" customHeight="1">
      <x:c r="A271" s="25" t="str">
        <x:v>Alchemist</x:v>
      </x:c>
      <x:c r="B271" s="80" t="str">
        <x:v>002</x:v>
      </x:c>
      <x:c r="C271" s="25" t="str">
        <x:v>bottom</x:v>
      </x:c>
      <x:c r="D271" s="25" t="n">
        <x:v>2</x:v>
      </x:c>
      <x:c r="E271" s="25" t="str">
        <x:v>Acid Pool</x:v>
      </x:c>
      <x:c r="F271" s="30" t="n">
        <x:v>450</x:v>
      </x:c>
      <x:c r="G271" s="30" t="n">
        <x:f>IF(F271="","",FLOOR(INT(F271*'Price rules'!$B$5),'Price rules'!$B$9)+IF(MOD(INT(F271*'Price rules'!$B$5),'Price rules'!$B$9)&lt;'Price rules'!$B$10,0,'Price rules'!$B$9))</x:f>
        <x:v>380</x:v>
      </x:c>
      <x:c r="H271" s="30" t="n">
        <x:f>IF(F271="","",FLOOR(INT(F271*'Price rules'!$B$7),'Price rules'!$B$9)+IF(MOD(INT(F271*'Price rules'!$B$7),'Price rules'!$B$9)&lt;'Price rules'!$B$10,0,'Price rules'!$B$9))</x:f>
        <x:v>485</x:v>
      </x:c>
      <x:c r="I271" s="30" t="n">
        <x:f>IF(F271="","",FLOOR(INT(F271*'Price rules'!$B$8),'Price rules'!$B$9)+IF(MOD(INT(F271*'Price rules'!$B$8),'Price rules'!$B$9)&lt;'Price rules'!$B$10,0,'Price rules'!$B$9))</x:f>
        <x:v>540</x:v>
      </x:c>
      <x:c r="J271" s="30" t="n">
        <x:f>IF(N271="conditional","",SUMIFS($F$5:$F$394,$A$5:$A$394,A271,$C$5:$C$394,C271,$D$5:$D$394,"&lt;="&amp;D271)+SUMIF(Towers!$A$5:$A$30,A271,Towers!$E$5:$E$30))</x:f>
        <x:v>1650</x:v>
      </x:c>
      <x:c r="K271" s="30"/>
      <x:c r="L271" s="25" t="str">
        <x:v>status</x:v>
      </x:c>
      <x:c r="M271" s="25" t="str">
        <x:v>Unused throws can leave damaging acid pools on the track.</x:v>
      </x:c>
      <x:c r="N271" s="25" t="str">
        <x:v>fixed_upgrade_price</x:v>
      </x:c>
      <x:c r="O271" s="30" t="n">
        <x:v>450</x:v>
      </x:c>
      <x:c r="P271" s="25" t="str">
        <x:v>https://raw.githubusercontent.com/Btd6ModHelper/btd6-game-data/main/Towers/Alchemist/Alchemist-002.json</x:v>
      </x:c>
      <x:c r="Q271" s="25" t="str">
        <x:v>https://raw.githubusercontent.com/hemisemidemipresent/cyberquincy/master/jsons/costs.json</x:v>
      </x:c>
      <x:c r="R271" s="25" t="str">
        <x:v>https://raw.githubusercontent.com/Btd6ModHelper/btd6-game-data/main/textTable.json</x:v>
      </x:c>
      <x:c r="S271" s="25"/>
      <x:c r="T271" s="25"/>
    </x:row>
    <x:row r="272" ht="64" customHeight="1">
      <x:c r="A272" s="25" t="str">
        <x:v>Alchemist</x:v>
      </x:c>
      <x:c r="B272" s="80" t="str">
        <x:v>003</x:v>
      </x:c>
      <x:c r="C272" s="25" t="str">
        <x:v>bottom</x:v>
      </x:c>
      <x:c r="D272" s="25" t="n">
        <x:v>3</x:v>
      </x:c>
      <x:c r="E272" s="25" t="str">
        <x:v>Lead to Gold</x:v>
      </x:c>
      <x:c r="F272" s="30" t="n">
        <x:v>1000</x:v>
      </x:c>
      <x:c r="G272" s="30" t="n">
        <x:f>IF(F272="","",FLOOR(INT(F272*'Price rules'!$B$5),'Price rules'!$B$9)+IF(MOD(INT(F272*'Price rules'!$B$5),'Price rules'!$B$9)&lt;'Price rules'!$B$10,0,'Price rules'!$B$9))</x:f>
        <x:v>850</x:v>
      </x:c>
      <x:c r="H272" s="30" t="n">
        <x:f>IF(F272="","",FLOOR(INT(F272*'Price rules'!$B$7),'Price rules'!$B$9)+IF(MOD(INT(F272*'Price rules'!$B$7),'Price rules'!$B$9)&lt;'Price rules'!$B$10,0,'Price rules'!$B$9))</x:f>
        <x:v>1080</x:v>
      </x:c>
      <x:c r="I272" s="30" t="n">
        <x:f>IF(F272="","",FLOOR(INT(F272*'Price rules'!$B$8),'Price rules'!$B$9)+IF(MOD(INT(F272*'Price rules'!$B$8),'Price rules'!$B$9)&lt;'Price rules'!$B$10,0,'Price rules'!$B$9))</x:f>
        <x:v>1200</x:v>
      </x:c>
      <x:c r="J272" s="30" t="n">
        <x:f>IF(N272="conditional","",SUMIFS($F$5:$F$394,$A$5:$A$394,A272,$C$5:$C$394,C272,$D$5:$D$394,"&lt;="&amp;D272)+SUMIF(Towers!$A$5:$A$30,A272,Towers!$E$5:$E$30))</x:f>
        <x:v>2650</x:v>
      </x:c>
      <x:c r="K272" s="30"/>
      <x:c r="L272" s="25" t="str">
        <x:v>economy</x:v>
      </x:c>
      <x:c r="M272" s="25" t="str">
        <x:v>Destroys Lead targets for extra cash.</x:v>
      </x:c>
      <x:c r="N272" s="25" t="str">
        <x:v>fixed_upgrade_price</x:v>
      </x:c>
      <x:c r="O272" s="30" t="n">
        <x:v>1000</x:v>
      </x:c>
      <x:c r="P272" s="25" t="str">
        <x:v>https://raw.githubusercontent.com/Btd6ModHelper/btd6-game-data/main/Towers/Alchemist/Alchemist-003.json</x:v>
      </x:c>
      <x:c r="Q272" s="25" t="str">
        <x:v>https://raw.githubusercontent.com/hemisemidemipresent/cyberquincy/master/jsons/costs.json</x:v>
      </x:c>
      <x:c r="R272" s="25" t="str">
        <x:v>https://raw.githubusercontent.com/Btd6ModHelper/btd6-game-data/main/textTable.json</x:v>
      </x:c>
      <x:c r="S272" s="25"/>
      <x:c r="T272" s="25"/>
    </x:row>
    <x:row r="273" ht="64" customHeight="1">
      <x:c r="A273" s="25" t="str">
        <x:v>Alchemist</x:v>
      </x:c>
      <x:c r="B273" s="80" t="str">
        <x:v>004</x:v>
      </x:c>
      <x:c r="C273" s="25" t="str">
        <x:v>bottom</x:v>
      </x:c>
      <x:c r="D273" s="25" t="n">
        <x:v>4</x:v>
      </x:c>
      <x:c r="E273" s="25" t="str">
        <x:v>Rubber to Gold</x:v>
      </x:c>
      <x:c r="F273" s="30" t="n">
        <x:v>2750</x:v>
      </x:c>
      <x:c r="G273" s="30" t="n">
        <x:f>IF(F273="","",FLOOR(INT(F273*'Price rules'!$B$5),'Price rules'!$B$9)+IF(MOD(INT(F273*'Price rules'!$B$5),'Price rules'!$B$9)&lt;'Price rules'!$B$10,0,'Price rules'!$B$9))</x:f>
        <x:v>2335</x:v>
      </x:c>
      <x:c r="H273" s="30" t="n">
        <x:f>IF(F273="","",FLOOR(INT(F273*'Price rules'!$B$7),'Price rules'!$B$9)+IF(MOD(INT(F273*'Price rules'!$B$7),'Price rules'!$B$9)&lt;'Price rules'!$B$10,0,'Price rules'!$B$9))</x:f>
        <x:v>2970</x:v>
      </x:c>
      <x:c r="I273" s="30" t="n">
        <x:f>IF(F273="","",FLOOR(INT(F273*'Price rules'!$B$8),'Price rules'!$B$9)+IF(MOD(INT(F273*'Price rules'!$B$8),'Price rules'!$B$9)&lt;'Price rules'!$B$10,0,'Price rules'!$B$9))</x:f>
        <x:v>3300</x:v>
      </x:c>
      <x:c r="J273" s="30" t="n">
        <x:f>IF(N273="conditional","",SUMIFS($F$5:$F$394,$A$5:$A$394,A273,$C$5:$C$394,C273,$D$5:$D$394,"&lt;="&amp;D273)+SUMIF(Towers!$A$5:$A$30,A273,Towers!$E$5:$E$30))</x:f>
        <x:v>5400</x:v>
      </x:c>
      <x:c r="K273" s="30"/>
      <x:c r="L273" s="25" t="str">
        <x:v>economy</x:v>
      </x:c>
      <x:c r="M273" s="25" t="str">
        <x:v>Marks targets to yield extra cash when popped; the exported description also specifies immunity removal.</x:v>
      </x:c>
      <x:c r="N273" s="25" t="str">
        <x:v>fixed_upgrade_price</x:v>
      </x:c>
      <x:c r="O273" s="30" t="n">
        <x:v>2750</x:v>
      </x:c>
      <x:c r="P273" s="25" t="str">
        <x:v>https://raw.githubusercontent.com/Btd6ModHelper/btd6-game-data/main/Towers/Alchemist/Alchemist-004.json</x:v>
      </x:c>
      <x:c r="Q273" s="25" t="str">
        <x:v>https://raw.githubusercontent.com/hemisemidemipresent/cyberquincy/master/jsons/costs.json</x:v>
      </x:c>
      <x:c r="R273" s="25" t="str">
        <x:v>https://raw.githubusercontent.com/Btd6ModHelper/btd6-game-data/main/textTable.json</x:v>
      </x:c>
      <x:c r="S273" s="25"/>
      <x:c r="T273" s="25"/>
    </x:row>
    <x:row r="274" ht="64" customHeight="1">
      <x:c r="A274" s="25" t="str">
        <x:v>Alchemist</x:v>
      </x:c>
      <x:c r="B274" s="80" t="str">
        <x:v>005</x:v>
      </x:c>
      <x:c r="C274" s="25" t="str">
        <x:v>bottom</x:v>
      </x:c>
      <x:c r="D274" s="25" t="n">
        <x:v>5</x:v>
      </x:c>
      <x:c r="E274" s="25" t="str">
        <x:v>Bloon Master Alchemist</x:v>
      </x:c>
      <x:c r="F274" s="30" t="n">
        <x:v>40000</x:v>
      </x:c>
      <x:c r="G274" s="30" t="n">
        <x:f>IF(F274="","",FLOOR(INT(F274*'Price rules'!$B$5),'Price rules'!$B$9)+IF(MOD(INT(F274*'Price rules'!$B$5),'Price rules'!$B$9)&lt;'Price rules'!$B$10,0,'Price rules'!$B$9))</x:f>
        <x:v>34000</x:v>
      </x:c>
      <x:c r="H274" s="30" t="n">
        <x:f>IF(F274="","",FLOOR(INT(F274*'Price rules'!$B$7),'Price rules'!$B$9)+IF(MOD(INT(F274*'Price rules'!$B$7),'Price rules'!$B$9)&lt;'Price rules'!$B$10,0,'Price rules'!$B$9))</x:f>
        <x:v>43200</x:v>
      </x:c>
      <x:c r="I274" s="30" t="n">
        <x:f>IF(F274="","",FLOOR(INT(F274*'Price rules'!$B$8),'Price rules'!$B$9)+IF(MOD(INT(F274*'Price rules'!$B$8),'Price rules'!$B$9)&lt;'Price rules'!$B$10,0,'Price rules'!$B$9))</x:f>
        <x:v>48000</x:v>
      </x:c>
      <x:c r="J274" s="30" t="n">
        <x:f>IF(N274="conditional","",SUMIFS($F$5:$F$394,$A$5:$A$394,A274,$C$5:$C$394,C274,$D$5:$D$394,"&lt;="&amp;D274)+SUMIF(Towers!$A$5:$A$30,A274,Towers!$E$5:$E$30))</x:f>
        <x:v>45400</x:v>
      </x:c>
      <x:c r="K274" s="30"/>
      <x:c r="L274" s="25" t="str">
        <x:v>tank_killer</x:v>
      </x:c>
      <x:c r="M274" s="25" t="str">
        <x:v>Can shrink eligible targets into Red Bloons, removing their remaining layers.</x:v>
      </x:c>
      <x:c r="N274" s="25" t="str">
        <x:v>fixed_upgrade_price</x:v>
      </x:c>
      <x:c r="O274" s="30" t="n">
        <x:v>40000</x:v>
      </x:c>
      <x:c r="P274" s="25" t="str">
        <x:v>https://raw.githubusercontent.com/Btd6ModHelper/btd6-game-data/main/Towers/Alchemist/Alchemist-005.json</x:v>
      </x:c>
      <x:c r="Q274" s="25" t="str">
        <x:v>https://raw.githubusercontent.com/hemisemidemipresent/cyberquincy/master/jsons/costs.json</x:v>
      </x:c>
      <x:c r="R274" s="25" t="str">
        <x:v>https://raw.githubusercontent.com/Btd6ModHelper/btd6-game-data/main/textTable.json</x:v>
      </x:c>
      <x:c r="S274" s="25"/>
      <x:c r="T274" s="25"/>
    </x:row>
    <x:row r="275" ht="64" customHeight="1">
      <x:c r="A275" s="25" t="str">
        <x:v>Druid</x:v>
      </x:c>
      <x:c r="B275" s="80" t="str">
        <x:v>100</x:v>
      </x:c>
      <x:c r="C275" s="25" t="str">
        <x:v>top</x:v>
      </x:c>
      <x:c r="D275" s="25" t="n">
        <x:v>1</x:v>
      </x:c>
      <x:c r="E275" s="25" t="str">
        <x:v>Hard Thorns</x:v>
      </x:c>
      <x:c r="F275" s="30" t="n">
        <x:v>350</x:v>
      </x:c>
      <x:c r="G275" s="30" t="n">
        <x:f>IF(F275="","",FLOOR(INT(F275*'Price rules'!$B$5),'Price rules'!$B$9)+IF(MOD(INT(F275*'Price rules'!$B$5),'Price rules'!$B$9)&lt;'Price rules'!$B$10,0,'Price rules'!$B$9))</x:f>
        <x:v>295</x:v>
      </x:c>
      <x:c r="H275" s="30" t="n">
        <x:f>IF(F275="","",FLOOR(INT(F275*'Price rules'!$B$7),'Price rules'!$B$9)+IF(MOD(INT(F275*'Price rules'!$B$7),'Price rules'!$B$9)&lt;'Price rules'!$B$10,0,'Price rules'!$B$9))</x:f>
        <x:v>380</x:v>
      </x:c>
      <x:c r="I275" s="30" t="n">
        <x:f>IF(F275="","",FLOOR(INT(F275*'Price rules'!$B$8),'Price rules'!$B$9)+IF(MOD(INT(F275*'Price rules'!$B$8),'Price rules'!$B$9)&lt;'Price rules'!$B$10,0,'Price rules'!$B$9))</x:f>
        <x:v>420</x:v>
      </x:c>
      <x:c r="J275" s="30" t="n">
        <x:f>IF(N275="conditional","",SUMIFS($F$5:$F$394,$A$5:$A$394,A275,$C$5:$C$394,C275,$D$5:$D$394,"&lt;="&amp;D275)+SUMIF(Towers!$A$5:$A$30,A275,Towers!$E$5:$E$30))</x:f>
        <x:v>750</x:v>
      </x:c>
      <x:c r="K275" s="30"/>
      <x:c r="L275" s="25" t="str">
        <x:v>basic_dps</x:v>
      </x:c>
      <x:c r="M275" s="25" t="str">
        <x:v>Improves thorn pierce and allows thorns to damage additional Bloon types.</x:v>
      </x:c>
      <x:c r="N275" s="25" t="str">
        <x:v>fixed_upgrade_price</x:v>
      </x:c>
      <x:c r="O275" s="30" t="n">
        <x:v>350</x:v>
      </x:c>
      <x:c r="P275" s="25" t="str">
        <x:v>https://raw.githubusercontent.com/Btd6ModHelper/btd6-game-data/main/Towers/Druid/Druid-100.json</x:v>
      </x:c>
      <x:c r="Q275" s="25" t="str">
        <x:v>https://raw.githubusercontent.com/hemisemidemipresent/cyberquincy/master/jsons/costs.json</x:v>
      </x:c>
      <x:c r="R275" s="25" t="str">
        <x:v>https://raw.githubusercontent.com/Btd6ModHelper/btd6-game-data/main/textTable.json</x:v>
      </x:c>
      <x:c r="S275" s="25"/>
      <x:c r="T275" s="25"/>
    </x:row>
    <x:row r="276" ht="64" customHeight="1">
      <x:c r="A276" s="25" t="str">
        <x:v>Druid</x:v>
      </x:c>
      <x:c r="B276" s="80" t="str">
        <x:v>200</x:v>
      </x:c>
      <x:c r="C276" s="25" t="str">
        <x:v>top</x:v>
      </x:c>
      <x:c r="D276" s="25" t="n">
        <x:v>2</x:v>
      </x:c>
      <x:c r="E276" s="25" t="str">
        <x:v>Heart of Thunder</x:v>
      </x:c>
      <x:c r="F276" s="30" t="n">
        <x:v>850</x:v>
      </x:c>
      <x:c r="G276" s="30" t="n">
        <x:f>IF(F276="","",FLOOR(INT(F276*'Price rules'!$B$5),'Price rules'!$B$9)+IF(MOD(INT(F276*'Price rules'!$B$5),'Price rules'!$B$9)&lt;'Price rules'!$B$10,0,'Price rules'!$B$9))</x:f>
        <x:v>720</x:v>
      </x:c>
      <x:c r="H276" s="30" t="n">
        <x:f>IF(F276="","",FLOOR(INT(F276*'Price rules'!$B$7),'Price rules'!$B$9)+IF(MOD(INT(F276*'Price rules'!$B$7),'Price rules'!$B$9)&lt;'Price rules'!$B$10,0,'Price rules'!$B$9))</x:f>
        <x:v>920</x:v>
      </x:c>
      <x:c r="I276" s="30" t="n">
        <x:f>IF(F276="","",FLOOR(INT(F276*'Price rules'!$B$8),'Price rules'!$B$9)+IF(MOD(INT(F276*'Price rules'!$B$8),'Price rules'!$B$9)&lt;'Price rules'!$B$10,0,'Price rules'!$B$9))</x:f>
        <x:v>1020</x:v>
      </x:c>
      <x:c r="J276" s="30" t="n">
        <x:f>IF(N276="conditional","",SUMIFS($F$5:$F$394,$A$5:$A$394,A276,$C$5:$C$394,C276,$D$5:$D$394,"&lt;="&amp;D276)+SUMIF(Towers!$A$5:$A$30,A276,Towers!$E$5:$E$30))</x:f>
        <x:v>1600</x:v>
      </x:c>
      <x:c r="K276" s="30"/>
      <x:c r="L276" s="25" t="str">
        <x:v>basic_dps</x:v>
      </x:c>
      <x:c r="M276" s="25" t="str">
        <x:v>Adds chain lightning.</x:v>
      </x:c>
      <x:c r="N276" s="25" t="str">
        <x:v>fixed_upgrade_price</x:v>
      </x:c>
      <x:c r="O276" s="30" t="n">
        <x:v>850</x:v>
      </x:c>
      <x:c r="P276" s="25" t="str">
        <x:v>https://raw.githubusercontent.com/Btd6ModHelper/btd6-game-data/main/Towers/Druid/Druid-200.json</x:v>
      </x:c>
      <x:c r="Q276" s="25" t="str">
        <x:v>https://raw.githubusercontent.com/hemisemidemipresent/cyberquincy/master/jsons/costs.json</x:v>
      </x:c>
      <x:c r="R276" s="25" t="str">
        <x:v>https://raw.githubusercontent.com/Btd6ModHelper/btd6-game-data/main/textTable.json</x:v>
      </x:c>
      <x:c r="S276" s="25"/>
      <x:c r="T276" s="25"/>
    </x:row>
    <x:row r="277" ht="64" customHeight="1">
      <x:c r="A277" s="25" t="str">
        <x:v>Druid</x:v>
      </x:c>
      <x:c r="B277" s="80" t="str">
        <x:v>300</x:v>
      </x:c>
      <x:c r="C277" s="25" t="str">
        <x:v>top</x:v>
      </x:c>
      <x:c r="D277" s="25" t="n">
        <x:v>3</x:v>
      </x:c>
      <x:c r="E277" s="25" t="str">
        <x:v>Druid of the Storm</x:v>
      </x:c>
      <x:c r="F277" s="30" t="n">
        <x:v>1700</x:v>
      </x:c>
      <x:c r="G277" s="30" t="n">
        <x:f>IF(F277="","",FLOOR(INT(F277*'Price rules'!$B$5),'Price rules'!$B$9)+IF(MOD(INT(F277*'Price rules'!$B$5),'Price rules'!$B$9)&lt;'Price rules'!$B$10,0,'Price rules'!$B$9))</x:f>
        <x:v>1445</x:v>
      </x:c>
      <x:c r="H277" s="30" t="n">
        <x:f>IF(F277="","",FLOOR(INT(F277*'Price rules'!$B$7),'Price rules'!$B$9)+IF(MOD(INT(F277*'Price rules'!$B$7),'Price rules'!$B$9)&lt;'Price rules'!$B$10,0,'Price rules'!$B$9))</x:f>
        <x:v>1835</x:v>
      </x:c>
      <x:c r="I277" s="30" t="n">
        <x:f>IF(F277="","",FLOOR(INT(F277*'Price rules'!$B$8),'Price rules'!$B$9)+IF(MOD(INT(F277*'Price rules'!$B$8),'Price rules'!$B$9)&lt;'Price rules'!$B$10,0,'Price rules'!$B$9))</x:f>
        <x:v>2040</x:v>
      </x:c>
      <x:c r="J277" s="30" t="n">
        <x:f>IF(N277="conditional","",SUMIFS($F$5:$F$394,$A$5:$A$394,A277,$C$5:$C$394,C277,$D$5:$D$394,"&lt;="&amp;D277)+SUMIF(Towers!$A$5:$A$30,A277,Towers!$E$5:$E$30))</x:f>
        <x:v>3300</x:v>
      </x:c>
      <x:c r="K277" s="30"/>
      <x:c r="L277" s="25" t="str">
        <x:v>slow</x:v>
      </x:c>
      <x:c r="M277" s="25" t="str">
        <x:v>Adds a tornado attack that blows ordinary Bloons backward.</x:v>
      </x:c>
      <x:c r="N277" s="25" t="str">
        <x:v>fixed_upgrade_price</x:v>
      </x:c>
      <x:c r="O277" s="30" t="n">
        <x:v>1700</x:v>
      </x:c>
      <x:c r="P277" s="25" t="str">
        <x:v>https://raw.githubusercontent.com/Btd6ModHelper/btd6-game-data/main/Towers/Druid/Druid-300.json</x:v>
      </x:c>
      <x:c r="Q277" s="25" t="str">
        <x:v>https://raw.githubusercontent.com/hemisemidemipresent/cyberquincy/master/jsons/costs.json</x:v>
      </x:c>
      <x:c r="R277" s="25" t="str">
        <x:v>https://raw.githubusercontent.com/Btd6ModHelper/btd6-game-data/main/textTable.json</x:v>
      </x:c>
      <x:c r="S277" s="25"/>
      <x:c r="T277" s="25"/>
    </x:row>
    <x:row r="278" ht="64" customHeight="1">
      <x:c r="A278" s="25" t="str">
        <x:v>Druid</x:v>
      </x:c>
      <x:c r="B278" s="80" t="str">
        <x:v>400</x:v>
      </x:c>
      <x:c r="C278" s="25" t="str">
        <x:v>top</x:v>
      </x:c>
      <x:c r="D278" s="25" t="n">
        <x:v>4</x:v>
      </x:c>
      <x:c r="E278" s="25" t="str">
        <x:v>Ball Lightning</x:v>
      </x:c>
      <x:c r="F278" s="30" t="n">
        <x:v>4500</x:v>
      </x:c>
      <x:c r="G278" s="30" t="n">
        <x:f>IF(F278="","",FLOOR(INT(F278*'Price rules'!$B$5),'Price rules'!$B$9)+IF(MOD(INT(F278*'Price rules'!$B$5),'Price rules'!$B$9)&lt;'Price rules'!$B$10,0,'Price rules'!$B$9))</x:f>
        <x:v>3825</x:v>
      </x:c>
      <x:c r="H278" s="30" t="n">
        <x:f>IF(F278="","",FLOOR(INT(F278*'Price rules'!$B$7),'Price rules'!$B$9)+IF(MOD(INT(F278*'Price rules'!$B$7),'Price rules'!$B$9)&lt;'Price rules'!$B$10,0,'Price rules'!$B$9))</x:f>
        <x:v>4860</x:v>
      </x:c>
      <x:c r="I278" s="30" t="n">
        <x:f>IF(F278="","",FLOOR(INT(F278*'Price rules'!$B$8),'Price rules'!$B$9)+IF(MOD(INT(F278*'Price rules'!$B$8),'Price rules'!$B$9)&lt;'Price rules'!$B$10,0,'Price rules'!$B$9))</x:f>
        <x:v>5400</x:v>
      </x:c>
      <x:c r="J278" s="30" t="n">
        <x:f>IF(N278="conditional","",SUMIFS($F$5:$F$394,$A$5:$A$394,A278,$C$5:$C$394,C278,$D$5:$D$394,"&lt;="&amp;D278)+SUMIF(Towers!$A$5:$A$30,A278,Towers!$E$5:$E$30))</x:f>
        <x:v>7800</x:v>
      </x:c>
      <x:c r="K278" s="30"/>
      <x:c r="L278" s="25" t="str">
        <x:v>slow</x:v>
      </x:c>
      <x:c r="M278" s="25" t="str">
        <x:v>Adds Camo detection and lightning balls that can freeze targets; improves chain lightning.</x:v>
      </x:c>
      <x:c r="N278" s="25" t="str">
        <x:v>fixed_upgrade_price</x:v>
      </x:c>
      <x:c r="O278" s="30" t="n">
        <x:v>4500</x:v>
      </x:c>
      <x:c r="P278" s="25" t="str">
        <x:v>https://raw.githubusercontent.com/Btd6ModHelper/btd6-game-data/main/Towers/Druid/Druid-400.json</x:v>
      </x:c>
      <x:c r="Q278" s="25" t="str">
        <x:v>https://raw.githubusercontent.com/hemisemidemipresent/cyberquincy/master/jsons/costs.json</x:v>
      </x:c>
      <x:c r="R278" s="25" t="str">
        <x:v>https://raw.githubusercontent.com/Btd6ModHelper/btd6-game-data/main/textTable.json</x:v>
      </x:c>
      <x:c r="S278" s="25"/>
      <x:c r="T278" s="25"/>
    </x:row>
    <x:row r="279" ht="64" customHeight="1">
      <x:c r="A279" s="25" t="str">
        <x:v>Druid</x:v>
      </x:c>
      <x:c r="B279" s="80" t="str">
        <x:v>500</x:v>
      </x:c>
      <x:c r="C279" s="25" t="str">
        <x:v>top</x:v>
      </x:c>
      <x:c r="D279" s="25" t="n">
        <x:v>5</x:v>
      </x:c>
      <x:c r="E279" s="25" t="str">
        <x:v>Superstorm</x:v>
      </x:c>
      <x:c r="F279" s="30" t="n">
        <x:v>60000</x:v>
      </x:c>
      <x:c r="G279" s="30" t="n">
        <x:f>IF(F279="","",FLOOR(INT(F279*'Price rules'!$B$5),'Price rules'!$B$9)+IF(MOD(INT(F279*'Price rules'!$B$5),'Price rules'!$B$9)&lt;'Price rules'!$B$10,0,'Price rules'!$B$9))</x:f>
        <x:v>51000</x:v>
      </x:c>
      <x:c r="H279" s="30" t="n">
        <x:f>IF(F279="","",FLOOR(INT(F279*'Price rules'!$B$7),'Price rules'!$B$9)+IF(MOD(INT(F279*'Price rules'!$B$7),'Price rules'!$B$9)&lt;'Price rules'!$B$10,0,'Price rules'!$B$9))</x:f>
        <x:v>64800</x:v>
      </x:c>
      <x:c r="I279" s="30" t="n">
        <x:f>IF(F279="","",FLOOR(INT(F279*'Price rules'!$B$8),'Price rules'!$B$9)+IF(MOD(INT(F279*'Price rules'!$B$8),'Price rules'!$B$9)&lt;'Price rules'!$B$10,0,'Price rules'!$B$9))</x:f>
        <x:v>72000</x:v>
      </x:c>
      <x:c r="J279" s="30" t="n">
        <x:f>IF(N279="conditional","",SUMIFS($F$5:$F$394,$A$5:$A$394,A279,$C$5:$C$394,C279,$D$5:$D$394,"&lt;="&amp;D279)+SUMIF(Towers!$A$5:$A$30,A279,Towers!$E$5:$E$30))</x:f>
        <x:v>67800</x:v>
      </x:c>
      <x:c r="K279" s="30"/>
      <x:c r="L279" s="25" t="str">
        <x:v>slow</x:v>
      </x:c>
      <x:c r="M279" s="25" t="str">
        <x:v>Adds much stronger storm attacks with MOAB-class knockback.</x:v>
      </x:c>
      <x:c r="N279" s="25" t="str">
        <x:v>fixed_upgrade_price</x:v>
      </x:c>
      <x:c r="O279" s="30" t="n">
        <x:v>60000</x:v>
      </x:c>
      <x:c r="P279" s="25" t="str">
        <x:v>https://raw.githubusercontent.com/Btd6ModHelper/btd6-game-data/main/Towers/Druid/Druid-500.json</x:v>
      </x:c>
      <x:c r="Q279" s="25" t="str">
        <x:v>https://raw.githubusercontent.com/hemisemidemipresent/cyberquincy/master/jsons/costs.json</x:v>
      </x:c>
      <x:c r="R279" s="25" t="str">
        <x:v>https://raw.githubusercontent.com/Btd6ModHelper/btd6-game-data/main/textTable.json</x:v>
      </x:c>
      <x:c r="S279" s="25"/>
      <x:c r="T279" s="25"/>
    </x:row>
    <x:row r="280" ht="64" customHeight="1">
      <x:c r="A280" s="25" t="str">
        <x:v>Druid</x:v>
      </x:c>
      <x:c r="B280" s="80" t="str">
        <x:v>010</x:v>
      </x:c>
      <x:c r="C280" s="25" t="str">
        <x:v>middle</x:v>
      </x:c>
      <x:c r="D280" s="25" t="n">
        <x:v>1</x:v>
      </x:c>
      <x:c r="E280" s="25" t="str">
        <x:v>Thorn Swarm</x:v>
      </x:c>
      <x:c r="F280" s="30" t="n">
        <x:v>250</x:v>
      </x:c>
      <x:c r="G280" s="30" t="n">
        <x:f>IF(F280="","",FLOOR(INT(F280*'Price rules'!$B$5),'Price rules'!$B$9)+IF(MOD(INT(F280*'Price rules'!$B$5),'Price rules'!$B$9)&lt;'Price rules'!$B$10,0,'Price rules'!$B$9))</x:f>
        <x:v>210</x:v>
      </x:c>
      <x:c r="H280" s="30" t="n">
        <x:f>IF(F280="","",FLOOR(INT(F280*'Price rules'!$B$7),'Price rules'!$B$9)+IF(MOD(INT(F280*'Price rules'!$B$7),'Price rules'!$B$9)&lt;'Price rules'!$B$10,0,'Price rules'!$B$9))</x:f>
        <x:v>270</x:v>
      </x:c>
      <x:c r="I280" s="30" t="n">
        <x:f>IF(F280="","",FLOOR(INT(F280*'Price rules'!$B$8),'Price rules'!$B$9)+IF(MOD(INT(F280*'Price rules'!$B$8),'Price rules'!$B$9)&lt;'Price rules'!$B$10,0,'Price rules'!$B$9))</x:f>
        <x:v>300</x:v>
      </x:c>
      <x:c r="J280" s="30" t="n">
        <x:f>IF(N280="conditional","",SUMIFS($F$5:$F$394,$A$5:$A$394,A280,$C$5:$C$394,C280,$D$5:$D$394,"&lt;="&amp;D280)+SUMIF(Towers!$A$5:$A$30,A280,Towers!$E$5:$E$30))</x:f>
        <x:v>650</x:v>
      </x:c>
      <x:c r="K280" s="30"/>
      <x:c r="L280" s="25" t="str">
        <x:v>basic_dps</x:v>
      </x:c>
      <x:c r="M280" s="25" t="str">
        <x:v>Fires eight thorns per volley instead of five.</x:v>
      </x:c>
      <x:c r="N280" s="25" t="str">
        <x:v>fixed_upgrade_price</x:v>
      </x:c>
      <x:c r="O280" s="30" t="n">
        <x:v>250</x:v>
      </x:c>
      <x:c r="P280" s="25" t="str">
        <x:v>https://raw.githubusercontent.com/Btd6ModHelper/btd6-game-data/main/Towers/Druid/Druid-010.json</x:v>
      </x:c>
      <x:c r="Q280" s="25" t="str">
        <x:v>https://raw.githubusercontent.com/hemisemidemipresent/cyberquincy/master/jsons/costs.json</x:v>
      </x:c>
      <x:c r="R280" s="25" t="str">
        <x:v>https://raw.githubusercontent.com/Btd6ModHelper/btd6-game-data/main/textTable.json</x:v>
      </x:c>
      <x:c r="S280" s="25"/>
      <x:c r="T280" s="25"/>
    </x:row>
    <x:row r="281" ht="64" customHeight="1">
      <x:c r="A281" s="25" t="str">
        <x:v>Druid</x:v>
      </x:c>
      <x:c r="B281" s="80" t="str">
        <x:v>020</x:v>
      </x:c>
      <x:c r="C281" s="25" t="str">
        <x:v>middle</x:v>
      </x:c>
      <x:c r="D281" s="25" t="n">
        <x:v>2</x:v>
      </x:c>
      <x:c r="E281" s="25" t="str">
        <x:v>Heart of Oak</x:v>
      </x:c>
      <x:c r="F281" s="30" t="n">
        <x:v>350</x:v>
      </x:c>
      <x:c r="G281" s="30" t="n">
        <x:f>IF(F281="","",FLOOR(INT(F281*'Price rules'!$B$5),'Price rules'!$B$9)+IF(MOD(INT(F281*'Price rules'!$B$5),'Price rules'!$B$9)&lt;'Price rules'!$B$10,0,'Price rules'!$B$9))</x:f>
        <x:v>295</x:v>
      </x:c>
      <x:c r="H281" s="30" t="n">
        <x:f>IF(F281="","",FLOOR(INT(F281*'Price rules'!$B$7),'Price rules'!$B$9)+IF(MOD(INT(F281*'Price rules'!$B$7),'Price rules'!$B$9)&lt;'Price rules'!$B$10,0,'Price rules'!$B$9))</x:f>
        <x:v>380</x:v>
      </x:c>
      <x:c r="I281" s="30" t="n">
        <x:f>IF(F281="","",FLOOR(INT(F281*'Price rules'!$B$8),'Price rules'!$B$9)+IF(MOD(INT(F281*'Price rules'!$B$8),'Price rules'!$B$9)&lt;'Price rules'!$B$10,0,'Price rules'!$B$9))</x:f>
        <x:v>420</x:v>
      </x:c>
      <x:c r="J281" s="30" t="n">
        <x:f>IF(N281="conditional","",SUMIFS($F$5:$F$394,$A$5:$A$394,A281,$C$5:$C$394,C281,$D$5:$D$394,"&lt;="&amp;D281)+SUMIF(Towers!$A$5:$A$30,A281,Towers!$E$5:$E$30))</x:f>
        <x:v>1000</x:v>
      </x:c>
      <x:c r="K281" s="30"/>
      <x:c r="L281" s="25" t="str">
        <x:v>basic_dps</x:v>
      </x:c>
      <x:c r="M281" s="25" t="str">
        <x:v>Removes Regrow and can gain pierce from lives gained after purchase.</x:v>
      </x:c>
      <x:c r="N281" s="25" t="str">
        <x:v>fixed_upgrade_price</x:v>
      </x:c>
      <x:c r="O281" s="30" t="n">
        <x:v>350</x:v>
      </x:c>
      <x:c r="P281" s="25" t="str">
        <x:v>https://raw.githubusercontent.com/Btd6ModHelper/btd6-game-data/main/Towers/Druid/Druid-020.json</x:v>
      </x:c>
      <x:c r="Q281" s="25" t="str">
        <x:v>https://raw.githubusercontent.com/hemisemidemipresent/cyberquincy/master/jsons/costs.json</x:v>
      </x:c>
      <x:c r="R281" s="25" t="str">
        <x:v>https://raw.githubusercontent.com/Btd6ModHelper/btd6-game-data/main/textTable.json</x:v>
      </x:c>
      <x:c r="S281" s="25"/>
      <x:c r="T281" s="25"/>
    </x:row>
    <x:row r="282" ht="64" customHeight="1">
      <x:c r="A282" s="25" t="str">
        <x:v>Druid</x:v>
      </x:c>
      <x:c r="B282" s="80" t="str">
        <x:v>030</x:v>
      </x:c>
      <x:c r="C282" s="25" t="str">
        <x:v>middle</x:v>
      </x:c>
      <x:c r="D282" s="25" t="n">
        <x:v>3</x:v>
      </x:c>
      <x:c r="E282" s="25" t="str">
        <x:v>Druid of the Jungle</x:v>
      </x:c>
      <x:c r="F282" s="30" t="n">
        <x:v>1050</x:v>
      </x:c>
      <x:c r="G282" s="30" t="n">
        <x:f>IF(F282="","",FLOOR(INT(F282*'Price rules'!$B$5),'Price rules'!$B$9)+IF(MOD(INT(F282*'Price rules'!$B$5),'Price rules'!$B$9)&lt;'Price rules'!$B$10,0,'Price rules'!$B$9))</x:f>
        <x:v>890</x:v>
      </x:c>
      <x:c r="H282" s="30" t="n">
        <x:f>IF(F282="","",FLOOR(INT(F282*'Price rules'!$B$7),'Price rules'!$B$9)+IF(MOD(INT(F282*'Price rules'!$B$7),'Price rules'!$B$9)&lt;'Price rules'!$B$10,0,'Price rules'!$B$9))</x:f>
        <x:v>1135</x:v>
      </x:c>
      <x:c r="I282" s="30" t="n">
        <x:f>IF(F282="","",FLOOR(INT(F282*'Price rules'!$B$8),'Price rules'!$B$9)+IF(MOD(INT(F282*'Price rules'!$B$8),'Price rules'!$B$9)&lt;'Price rules'!$B$10,0,'Price rules'!$B$9))</x:f>
        <x:v>1260</x:v>
      </x:c>
      <x:c r="J282" s="30" t="n">
        <x:f>IF(N282="conditional","",SUMIFS($F$5:$F$394,$A$5:$A$394,A282,$C$5:$C$394,C282,$D$5:$D$394,"&lt;="&amp;D282)+SUMIF(Towers!$A$5:$A$30,A282,Towers!$E$5:$E$30))</x:f>
        <x:v>2050</x:v>
      </x:c>
      <x:c r="K282" s="30"/>
      <x:c r="L282" s="25" t="str">
        <x:v>summoner</x:v>
      </x:c>
      <x:c r="M282" s="25" t="str">
        <x:v>Adds a vine attack that destroys an ordinary Bloon and leaves thorns on the track.</x:v>
      </x:c>
      <x:c r="N282" s="25" t="str">
        <x:v>fixed_upgrade_price</x:v>
      </x:c>
      <x:c r="O282" s="30" t="n">
        <x:v>1050</x:v>
      </x:c>
      <x:c r="P282" s="25" t="str">
        <x:v>https://raw.githubusercontent.com/Btd6ModHelper/btd6-game-data/main/Towers/Druid/Druid-030.json</x:v>
      </x:c>
      <x:c r="Q282" s="25" t="str">
        <x:v>https://raw.githubusercontent.com/hemisemidemipresent/cyberquincy/master/jsons/costs.json</x:v>
      </x:c>
      <x:c r="R282" s="25" t="str">
        <x:v>https://raw.githubusercontent.com/Btd6ModHelper/btd6-game-data/main/textTable.json</x:v>
      </x:c>
      <x:c r="S282" s="25"/>
      <x:c r="T282" s="25"/>
    </x:row>
    <x:row r="283" ht="64" customHeight="1">
      <x:c r="A283" s="25" t="str">
        <x:v>Druid</x:v>
      </x:c>
      <x:c r="B283" s="80" t="str">
        <x:v>040</x:v>
      </x:c>
      <x:c r="C283" s="25" t="str">
        <x:v>middle</x:v>
      </x:c>
      <x:c r="D283" s="25" t="n">
        <x:v>4</x:v>
      </x:c>
      <x:c r="E283" s="25" t="str">
        <x:v>Jungle's Bounty</x:v>
      </x:c>
      <x:c r="F283" s="30" t="n">
        <x:v>4900</x:v>
      </x:c>
      <x:c r="G283" s="30" t="n">
        <x:f>IF(F283="","",FLOOR(INT(F283*'Price rules'!$B$5),'Price rules'!$B$9)+IF(MOD(INT(F283*'Price rules'!$B$5),'Price rules'!$B$9)&lt;'Price rules'!$B$10,0,'Price rules'!$B$9))</x:f>
        <x:v>4165</x:v>
      </x:c>
      <x:c r="H283" s="30" t="n">
        <x:f>IF(F283="","",FLOOR(INT(F283*'Price rules'!$B$7),'Price rules'!$B$9)+IF(MOD(INT(F283*'Price rules'!$B$7),'Price rules'!$B$9)&lt;'Price rules'!$B$10,0,'Price rules'!$B$9))</x:f>
        <x:v>5290</x:v>
      </x:c>
      <x:c r="I283" s="30" t="n">
        <x:f>IF(F283="","",FLOOR(INT(F283*'Price rules'!$B$8),'Price rules'!$B$9)+IF(MOD(INT(F283*'Price rules'!$B$8),'Price rules'!$B$9)&lt;'Price rules'!$B$10,0,'Price rules'!$B$9))</x:f>
        <x:v>5880</x:v>
      </x:c>
      <x:c r="J283" s="30" t="n">
        <x:f>IF(N283="conditional","",SUMIFS($F$5:$F$394,$A$5:$A$394,A283,$C$5:$C$394,C283,$D$5:$D$394,"&lt;="&amp;D283)+SUMIF(Towers!$A$5:$A$30,A283,Towers!$E$5:$E$30))</x:f>
        <x:v>6950</x:v>
      </x:c>
      <x:c r="K283" s="30"/>
      <x:c r="L283" s="25" t="str">
        <x:v>summoner</x:v>
      </x:c>
      <x:c r="M283" s="25" t="str">
        <x:v>Generates round-end cash and lives, with a nearby-Farm income bonus; adds the Vine Crush ability.</x:v>
      </x:c>
      <x:c r="N283" s="25" t="str">
        <x:v>fixed_upgrade_price</x:v>
      </x:c>
      <x:c r="O283" s="30" t="n">
        <x:v>4900</x:v>
      </x:c>
      <x:c r="P283" s="25" t="str">
        <x:v>https://raw.githubusercontent.com/Btd6ModHelper/btd6-game-data/main/Towers/Druid/Druid-040.json</x:v>
      </x:c>
      <x:c r="Q283" s="25" t="str">
        <x:v>https://raw.githubusercontent.com/hemisemidemipresent/cyberquincy/master/jsons/costs.json</x:v>
      </x:c>
      <x:c r="R283" s="25" t="str">
        <x:v>https://raw.githubusercontent.com/Btd6ModHelper/btd6-game-data/main/textTable.json</x:v>
      </x:c>
      <x:c r="S283" s="25"/>
      <x:c r="T283" s="25"/>
    </x:row>
    <x:row r="284" ht="64" customHeight="1">
      <x:c r="A284" s="25" t="str">
        <x:v>Druid</x:v>
      </x:c>
      <x:c r="B284" s="80" t="str">
        <x:v>050</x:v>
      </x:c>
      <x:c r="C284" s="25" t="str">
        <x:v>middle</x:v>
      </x:c>
      <x:c r="D284" s="25" t="n">
        <x:v>5</x:v>
      </x:c>
      <x:c r="E284" s="25" t="str">
        <x:v>Spirit of the Forest</x:v>
      </x:c>
      <x:c r="F284" s="30" t="n">
        <x:v>35000</x:v>
      </x:c>
      <x:c r="G284" s="30" t="n">
        <x:f>IF(F284="","",FLOOR(INT(F284*'Price rules'!$B$5),'Price rules'!$B$9)+IF(MOD(INT(F284*'Price rules'!$B$5),'Price rules'!$B$9)&lt;'Price rules'!$B$10,0,'Price rules'!$B$9))</x:f>
        <x:v>29750</x:v>
      </x:c>
      <x:c r="H284" s="30" t="n">
        <x:f>IF(F284="","",FLOOR(INT(F284*'Price rules'!$B$7),'Price rules'!$B$9)+IF(MOD(INT(F284*'Price rules'!$B$7),'Price rules'!$B$9)&lt;'Price rules'!$B$10,0,'Price rules'!$B$9))</x:f>
        <x:v>37800</x:v>
      </x:c>
      <x:c r="I284" s="30" t="n">
        <x:f>IF(F284="","",FLOOR(INT(F284*'Price rules'!$B$8),'Price rules'!$B$9)+IF(MOD(INT(F284*'Price rules'!$B$8),'Price rules'!$B$9)&lt;'Price rules'!$B$10,0,'Price rules'!$B$9))</x:f>
        <x:v>42000</x:v>
      </x:c>
      <x:c r="J284" s="30" t="n">
        <x:f>IF(N284="conditional","",SUMIFS($F$5:$F$394,$A$5:$A$394,A284,$C$5:$C$394,C284,$D$5:$D$394,"&lt;="&amp;D284)+SUMIF(Towers!$A$5:$A$30,A284,Towers!$E$5:$E$30))</x:f>
        <x:v>41950</x:v>
      </x:c>
      <x:c r="K284" s="30"/>
      <x:c r="L284" s="25" t="str">
        <x:v>summoner</x:v>
      </x:c>
      <x:c r="M284" s="25" t="str">
        <x:v>Creates persistent damaging vines along the track and improves Vine Crush.</x:v>
      </x:c>
      <x:c r="N284" s="25" t="str">
        <x:v>fixed_upgrade_price</x:v>
      </x:c>
      <x:c r="O284" s="30" t="n">
        <x:v>35000</x:v>
      </x:c>
      <x:c r="P284" s="25" t="str">
        <x:v>https://raw.githubusercontent.com/Btd6ModHelper/btd6-game-data/main/Towers/Druid/Druid-050.json</x:v>
      </x:c>
      <x:c r="Q284" s="25" t="str">
        <x:v>https://raw.githubusercontent.com/hemisemidemipresent/cyberquincy/master/jsons/costs.json</x:v>
      </x:c>
      <x:c r="R284" s="25" t="str">
        <x:v>https://raw.githubusercontent.com/Btd6ModHelper/btd6-game-data/main/textTable.json</x:v>
      </x:c>
      <x:c r="S284" s="25"/>
      <x:c r="T284" s="25"/>
    </x:row>
    <x:row r="285" ht="64" customHeight="1">
      <x:c r="A285" s="25" t="str">
        <x:v>Druid</x:v>
      </x:c>
      <x:c r="B285" s="80" t="str">
        <x:v>001</x:v>
      </x:c>
      <x:c r="C285" s="25" t="str">
        <x:v>bottom</x:v>
      </x:c>
      <x:c r="D285" s="25" t="n">
        <x:v>1</x:v>
      </x:c>
      <x:c r="E285" s="25" t="str">
        <x:v>Druidic Reach</x:v>
      </x:c>
      <x:c r="F285" s="30" t="n">
        <x:v>100</x:v>
      </x:c>
      <x:c r="G285" s="30" t="n">
        <x:f>IF(F285="","",FLOOR(INT(F285*'Price rules'!$B$5),'Price rules'!$B$9)+IF(MOD(INT(F285*'Price rules'!$B$5),'Price rules'!$B$9)&lt;'Price rules'!$B$10,0,'Price rules'!$B$9))</x:f>
        <x:v>85</x:v>
      </x:c>
      <x:c r="H285" s="30" t="n">
        <x:f>IF(F285="","",FLOOR(INT(F285*'Price rules'!$B$7),'Price rules'!$B$9)+IF(MOD(INT(F285*'Price rules'!$B$7),'Price rules'!$B$9)&lt;'Price rules'!$B$10,0,'Price rules'!$B$9))</x:f>
        <x:v>110</x:v>
      </x:c>
      <x:c r="I285" s="30" t="n">
        <x:f>IF(F285="","",FLOOR(INT(F285*'Price rules'!$B$8),'Price rules'!$B$9)+IF(MOD(INT(F285*'Price rules'!$B$8),'Price rules'!$B$9)&lt;'Price rules'!$B$10,0,'Price rules'!$B$9))</x:f>
        <x:v>120</x:v>
      </x:c>
      <x:c r="J285" s="30" t="n">
        <x:f>IF(N285="conditional","",SUMIFS($F$5:$F$394,$A$5:$A$394,A285,$C$5:$C$394,C285,$D$5:$D$394,"&lt;="&amp;D285)+SUMIF(Towers!$A$5:$A$30,A285,Towers!$E$5:$E$30))</x:f>
        <x:v>500</x:v>
      </x:c>
      <x:c r="K285" s="30"/>
      <x:c r="L285" s="25" t="str">
        <x:v>basic_dps</x:v>
      </x:c>
      <x:c r="M285" s="25" t="str">
        <x:v>Increases attack range.</x:v>
      </x:c>
      <x:c r="N285" s="25" t="str">
        <x:v>fixed_upgrade_price</x:v>
      </x:c>
      <x:c r="O285" s="30" t="n">
        <x:v>100</x:v>
      </x:c>
      <x:c r="P285" s="25" t="str">
        <x:v>https://raw.githubusercontent.com/Btd6ModHelper/btd6-game-data/main/Towers/Druid/Druid-001.json</x:v>
      </x:c>
      <x:c r="Q285" s="25" t="str">
        <x:v>https://raw.githubusercontent.com/hemisemidemipresent/cyberquincy/master/jsons/costs.json</x:v>
      </x:c>
      <x:c r="R285" s="25" t="str">
        <x:v>https://raw.githubusercontent.com/Btd6ModHelper/btd6-game-data/main/textTable.json</x:v>
      </x:c>
      <x:c r="S285" s="25"/>
      <x:c r="T285" s="25"/>
    </x:row>
    <x:row r="286" ht="64" customHeight="1">
      <x:c r="A286" s="25" t="str">
        <x:v>Druid</x:v>
      </x:c>
      <x:c r="B286" s="80" t="str">
        <x:v>002</x:v>
      </x:c>
      <x:c r="C286" s="25" t="str">
        <x:v>bottom</x:v>
      </x:c>
      <x:c r="D286" s="25" t="n">
        <x:v>2</x:v>
      </x:c>
      <x:c r="E286" s="25" t="str">
        <x:v>Heart of Vengeance</x:v>
      </x:c>
      <x:c r="F286" s="30" t="n">
        <x:v>300</x:v>
      </x:c>
      <x:c r="G286" s="30" t="n">
        <x:f>IF(F286="","",FLOOR(INT(F286*'Price rules'!$B$5),'Price rules'!$B$9)+IF(MOD(INT(F286*'Price rules'!$B$5),'Price rules'!$B$9)&lt;'Price rules'!$B$10,0,'Price rules'!$B$9))</x:f>
        <x:v>255</x:v>
      </x:c>
      <x:c r="H286" s="30" t="n">
        <x:f>IF(F286="","",FLOOR(INT(F286*'Price rules'!$B$7),'Price rules'!$B$9)+IF(MOD(INT(F286*'Price rules'!$B$7),'Price rules'!$B$9)&lt;'Price rules'!$B$10,0,'Price rules'!$B$9))</x:f>
        <x:v>325</x:v>
      </x:c>
      <x:c r="I286" s="30" t="n">
        <x:f>IF(F286="","",FLOOR(INT(F286*'Price rules'!$B$8),'Price rules'!$B$9)+IF(MOD(INT(F286*'Price rules'!$B$8),'Price rules'!$B$9)&lt;'Price rules'!$B$10,0,'Price rules'!$B$9))</x:f>
        <x:v>360</x:v>
      </x:c>
      <x:c r="J286" s="30" t="n">
        <x:f>IF(N286="conditional","",SUMIFS($F$5:$F$394,$A$5:$A$394,A286,$C$5:$C$394,C286,$D$5:$D$394,"&lt;="&amp;D286)+SUMIF(Towers!$A$5:$A$30,A286,Towers!$E$5:$E$30))</x:f>
        <x:v>800</x:v>
      </x:c>
      <x:c r="K286" s="30"/>
      <x:c r="L286" s="25" t="str">
        <x:v>basic_dps</x:v>
      </x:c>
      <x:c r="M286" s="25" t="str">
        <x:v>Increases attack speed and gains further speed from lives lost after purchase.</x:v>
      </x:c>
      <x:c r="N286" s="25" t="str">
        <x:v>fixed_upgrade_price</x:v>
      </x:c>
      <x:c r="O286" s="30" t="n">
        <x:v>300</x:v>
      </x:c>
      <x:c r="P286" s="25" t="str">
        <x:v>https://raw.githubusercontent.com/Btd6ModHelper/btd6-game-data/main/Towers/Druid/Druid-002.json</x:v>
      </x:c>
      <x:c r="Q286" s="25" t="str">
        <x:v>https://raw.githubusercontent.com/hemisemidemipresent/cyberquincy/master/jsons/costs.json</x:v>
      </x:c>
      <x:c r="R286" s="25" t="str">
        <x:v>https://raw.githubusercontent.com/Btd6ModHelper/btd6-game-data/main/textTable.json</x:v>
      </x:c>
      <x:c r="S286" s="25"/>
      <x:c r="T286" s="25"/>
    </x:row>
    <x:row r="287" ht="64" customHeight="1">
      <x:c r="A287" s="25" t="str">
        <x:v>Druid</x:v>
      </x:c>
      <x:c r="B287" s="80" t="str">
        <x:v>003</x:v>
      </x:c>
      <x:c r="C287" s="25" t="str">
        <x:v>bottom</x:v>
      </x:c>
      <x:c r="D287" s="25" t="n">
        <x:v>3</x:v>
      </x:c>
      <x:c r="E287" s="25" t="str">
        <x:v>Druid of Wrath</x:v>
      </x:c>
      <x:c r="F287" s="30" t="n">
        <x:v>600</x:v>
      </x:c>
      <x:c r="G287" s="30" t="n">
        <x:f>IF(F287="","",FLOOR(INT(F287*'Price rules'!$B$5),'Price rules'!$B$9)+IF(MOD(INT(F287*'Price rules'!$B$5),'Price rules'!$B$9)&lt;'Price rules'!$B$10,0,'Price rules'!$B$9))</x:f>
        <x:v>510</x:v>
      </x:c>
      <x:c r="H287" s="30" t="n">
        <x:f>IF(F287="","",FLOOR(INT(F287*'Price rules'!$B$7),'Price rules'!$B$9)+IF(MOD(INT(F287*'Price rules'!$B$7),'Price rules'!$B$9)&lt;'Price rules'!$B$10,0,'Price rules'!$B$9))</x:f>
        <x:v>650</x:v>
      </x:c>
      <x:c r="I287" s="30" t="n">
        <x:f>IF(F287="","",FLOOR(INT(F287*'Price rules'!$B$8),'Price rules'!$B$9)+IF(MOD(INT(F287*'Price rules'!$B$8),'Price rules'!$B$9)&lt;'Price rules'!$B$10,0,'Price rules'!$B$9))</x:f>
        <x:v>720</x:v>
      </x:c>
      <x:c r="J287" s="30" t="n">
        <x:f>IF(N287="conditional","",SUMIFS($F$5:$F$394,$A$5:$A$394,A287,$C$5:$C$394,C287,$D$5:$D$394,"&lt;="&amp;D287)+SUMIF(Towers!$A$5:$A$30,A287,Towers!$E$5:$E$30))</x:f>
        <x:v>1400</x:v>
      </x:c>
      <x:c r="K287" s="30"/>
      <x:c r="L287" s="25" t="str">
        <x:v>rapid_fire</x:v>
      </x:c>
      <x:c r="M287" s="25" t="str">
        <x:v>Attack speed increases while the Druid keeps attacking during a round.</x:v>
      </x:c>
      <x:c r="N287" s="25" t="str">
        <x:v>fixed_upgrade_price</x:v>
      </x:c>
      <x:c r="O287" s="30" t="n">
        <x:v>600</x:v>
      </x:c>
      <x:c r="P287" s="25" t="str">
        <x:v>https://raw.githubusercontent.com/Btd6ModHelper/btd6-game-data/main/Towers/Druid/Druid-003.json</x:v>
      </x:c>
      <x:c r="Q287" s="25" t="str">
        <x:v>https://raw.githubusercontent.com/hemisemidemipresent/cyberquincy/master/jsons/costs.json</x:v>
      </x:c>
      <x:c r="R287" s="25" t="str">
        <x:v>https://raw.githubusercontent.com/Btd6ModHelper/btd6-game-data/main/textTable.json</x:v>
      </x:c>
      <x:c r="S287" s="25"/>
      <x:c r="T287" s="25"/>
    </x:row>
    <x:row r="288" ht="64" customHeight="1">
      <x:c r="A288" s="25" t="str">
        <x:v>Druid</x:v>
      </x:c>
      <x:c r="B288" s="80" t="str">
        <x:v>004</x:v>
      </x:c>
      <x:c r="C288" s="25" t="str">
        <x:v>bottom</x:v>
      </x:c>
      <x:c r="D288" s="25" t="n">
        <x:v>4</x:v>
      </x:c>
      <x:c r="E288" s="25" t="str">
        <x:v>Poplust</x:v>
      </x:c>
      <x:c r="F288" s="30" t="n">
        <x:v>2350</x:v>
      </x:c>
      <x:c r="G288" s="30" t="n">
        <x:f>IF(F288="","",FLOOR(INT(F288*'Price rules'!$B$5),'Price rules'!$B$9)+IF(MOD(INT(F288*'Price rules'!$B$5),'Price rules'!$B$9)&lt;'Price rules'!$B$10,0,'Price rules'!$B$9))</x:f>
        <x:v>1995</x:v>
      </x:c>
      <x:c r="H288" s="30" t="n">
        <x:f>IF(F288="","",FLOOR(INT(F288*'Price rules'!$B$7),'Price rules'!$B$9)+IF(MOD(INT(F288*'Price rules'!$B$7),'Price rules'!$B$9)&lt;'Price rules'!$B$10,0,'Price rules'!$B$9))</x:f>
        <x:v>2540</x:v>
      </x:c>
      <x:c r="I288" s="30" t="n">
        <x:f>IF(F288="","",FLOOR(INT(F288*'Price rules'!$B$8),'Price rules'!$B$9)+IF(MOD(INT(F288*'Price rules'!$B$8),'Price rules'!$B$9)&lt;'Price rules'!$B$10,0,'Price rules'!$B$9))</x:f>
        <x:v>2820</x:v>
      </x:c>
      <x:c r="J288" s="30" t="n">
        <x:f>IF(N288="conditional","",SUMIFS($F$5:$F$394,$A$5:$A$394,A288,$C$5:$C$394,C288,$D$5:$D$394,"&lt;="&amp;D288)+SUMIF(Towers!$A$5:$A$30,A288,Towers!$E$5:$E$30))</x:f>
        <x:v>3750</x:v>
      </x:c>
      <x:c r="K288" s="30"/>
      <x:c r="L288" s="25" t="str">
        <x:v>rapid_fire</x:v>
      </x:c>
      <x:c r="M288" s="25" t="str">
        <x:v>Buffs nearby Druids' attack speed and pierce; several buffs can stack.</x:v>
      </x:c>
      <x:c r="N288" s="25" t="str">
        <x:v>fixed_upgrade_price</x:v>
      </x:c>
      <x:c r="O288" s="30" t="n">
        <x:v>2350</x:v>
      </x:c>
      <x:c r="P288" s="25" t="str">
        <x:v>https://raw.githubusercontent.com/Btd6ModHelper/btd6-game-data/main/Towers/Druid/Druid-004.json</x:v>
      </x:c>
      <x:c r="Q288" s="25" t="str">
        <x:v>https://raw.githubusercontent.com/hemisemidemipresent/cyberquincy/master/jsons/costs.json</x:v>
      </x:c>
      <x:c r="R288" s="25" t="str">
        <x:v>https://raw.githubusercontent.com/Btd6ModHelper/btd6-game-data/main/textTable.json</x:v>
      </x:c>
      <x:c r="S288" s="25"/>
      <x:c r="T288" s="25"/>
    </x:row>
    <x:row r="289" ht="64" customHeight="1">
      <x:c r="A289" s="25" t="str">
        <x:v>Druid</x:v>
      </x:c>
      <x:c r="B289" s="80" t="str">
        <x:v>005</x:v>
      </x:c>
      <x:c r="C289" s="25" t="str">
        <x:v>bottom</x:v>
      </x:c>
      <x:c r="D289" s="25" t="n">
        <x:v>5</x:v>
      </x:c>
      <x:c r="E289" s="25" t="str">
        <x:v>Avatar of Wrath</x:v>
      </x:c>
      <x:c r="F289" s="30" t="n">
        <x:v>45000</x:v>
      </x:c>
      <x:c r="G289" s="30" t="n">
        <x:f>IF(F289="","",FLOOR(INT(F289*'Price rules'!$B$5),'Price rules'!$B$9)+IF(MOD(INT(F289*'Price rules'!$B$5),'Price rules'!$B$9)&lt;'Price rules'!$B$10,0,'Price rules'!$B$9))</x:f>
        <x:v>38250</x:v>
      </x:c>
      <x:c r="H289" s="30" t="n">
        <x:f>IF(F289="","",FLOOR(INT(F289*'Price rules'!$B$7),'Price rules'!$B$9)+IF(MOD(INT(F289*'Price rules'!$B$7),'Price rules'!$B$9)&lt;'Price rules'!$B$10,0,'Price rules'!$B$9))</x:f>
        <x:v>48600</x:v>
      </x:c>
      <x:c r="I289" s="30" t="n">
        <x:f>IF(F289="","",FLOOR(INT(F289*'Price rules'!$B$8),'Price rules'!$B$9)+IF(MOD(INT(F289*'Price rules'!$B$8),'Price rules'!$B$9)&lt;'Price rules'!$B$10,0,'Price rules'!$B$9))</x:f>
        <x:v>54000</x:v>
      </x:c>
      <x:c r="J289" s="30" t="n">
        <x:f>IF(N289="conditional","",SUMIFS($F$5:$F$394,$A$5:$A$394,A289,$C$5:$C$394,C289,$D$5:$D$394,"&lt;="&amp;D289)+SUMIF(Towers!$A$5:$A$30,A289,Towers!$E$5:$E$30))</x:f>
        <x:v>48750</x:v>
      </x:c>
      <x:c r="K289" s="30"/>
      <x:c r="L289" s="25" t="str">
        <x:v>rapid_fire</x:v>
      </x:c>
      <x:c r="M289" s="25" t="str">
        <x:v>Gains attack damage as the amount of Bloon health on the map increases.</x:v>
      </x:c>
      <x:c r="N289" s="25" t="str">
        <x:v>fixed_upgrade_price</x:v>
      </x:c>
      <x:c r="O289" s="30" t="n">
        <x:v>45000</x:v>
      </x:c>
      <x:c r="P289" s="25" t="str">
        <x:v>https://raw.githubusercontent.com/Btd6ModHelper/btd6-game-data/main/Towers/Druid/Druid-005.json</x:v>
      </x:c>
      <x:c r="Q289" s="25" t="str">
        <x:v>https://raw.githubusercontent.com/hemisemidemipresent/cyberquincy/master/jsons/costs.json</x:v>
      </x:c>
      <x:c r="R289" s="25" t="str">
        <x:v>https://raw.githubusercontent.com/Btd6ModHelper/btd6-game-data/main/textTable.json</x:v>
      </x:c>
      <x:c r="S289" s="25"/>
      <x:c r="T289" s="25"/>
    </x:row>
    <x:row r="290" ht="64" customHeight="1">
      <x:c r="A290" s="25" t="str">
        <x:v>Mermonkey</x:v>
      </x:c>
      <x:c r="B290" s="80" t="str">
        <x:v>100</x:v>
      </x:c>
      <x:c r="C290" s="25" t="str">
        <x:v>top</x:v>
      </x:c>
      <x:c r="D290" s="25" t="n">
        <x:v>1</x:v>
      </x:c>
      <x:c r="E290" s="25" t="str">
        <x:v>Trident Efficiency</x:v>
      </x:c>
      <x:c r="F290" s="30" t="n">
        <x:v>150</x:v>
      </x:c>
      <x:c r="G290" s="30" t="n">
        <x:f>IF(F290="","",FLOOR(INT(F290*'Price rules'!$B$5),'Price rules'!$B$9)+IF(MOD(INT(F290*'Price rules'!$B$5),'Price rules'!$B$9)&lt;'Price rules'!$B$10,0,'Price rules'!$B$9))</x:f>
        <x:v>125</x:v>
      </x:c>
      <x:c r="H290" s="30" t="n">
        <x:f>IF(F290="","",FLOOR(INT(F290*'Price rules'!$B$7),'Price rules'!$B$9)+IF(MOD(INT(F290*'Price rules'!$B$7),'Price rules'!$B$9)&lt;'Price rules'!$B$10,0,'Price rules'!$B$9))</x:f>
        <x:v>160</x:v>
      </x:c>
      <x:c r="I290" s="30" t="n">
        <x:f>IF(F290="","",FLOOR(INT(F290*'Price rules'!$B$8),'Price rules'!$B$9)+IF(MOD(INT(F290*'Price rules'!$B$8),'Price rules'!$B$9)&lt;'Price rules'!$B$10,0,'Price rules'!$B$9))</x:f>
        <x:v>180</x:v>
      </x:c>
      <x:c r="J290" s="30" t="n">
        <x:f>IF(N290="conditional","",SUMIFS($F$5:$F$394,$A$5:$A$394,A290,$C$5:$C$394,C290,$D$5:$D$394,"&lt;="&amp;D290)+SUMIF(Towers!$A$5:$A$30,A290,Towers!$E$5:$E$30))</x:f>
        <x:v>450</x:v>
      </x:c>
      <x:c r="K290" s="30" t="n">
        <x:v>160</x:v>
      </x:c>
      <x:c r="L290" s="25" t="str">
        <x:v>splash</x:v>
      </x:c>
      <x:c r="M290" s="25" t="str">
        <x:v>Improves trident attack efficiency and speed.</x:v>
      </x:c>
      <x:c r="N290" s="25" t="str">
        <x:v>fixed_upgrade_price</x:v>
      </x:c>
      <x:c r="O290" s="30" t="n">
        <x:v>150</x:v>
      </x:c>
      <x:c r="P290" s="25" t="str">
        <x:v>https://raw.githubusercontent.com/Btd6ModHelper/btd6-game-data/main/Towers/Mermonkey/Mermonkey-100.json</x:v>
      </x:c>
      <x:c r="Q290" s="25" t="str">
        <x:v>https://raw.githubusercontent.com/hemisemidemipresent/cyberquincy/master/jsons/costs.json</x:v>
      </x:c>
      <x:c r="R290" s="25" t="str">
        <x:v>https://raw.githubusercontent.com/Btd6ModHelper/btd6-game-data/main/textTable.json</x:v>
      </x:c>
      <x:c r="S290" s="25" t="str">
        <x:v>https://www.bloonswiki.com/Mermonkey_(BTD6)</x:v>
      </x:c>
      <x:c r="T290" s="25" t="str">
        <x:v>48.0</x:v>
      </x:c>
    </x:row>
    <x:row r="291" ht="64" customHeight="1">
      <x:c r="A291" s="25" t="str">
        <x:v>Mermonkey</x:v>
      </x:c>
      <x:c r="B291" s="80" t="str">
        <x:v>200</x:v>
      </x:c>
      <x:c r="C291" s="25" t="str">
        <x:v>top</x:v>
      </x:c>
      <x:c r="D291" s="25" t="n">
        <x:v>2</x:v>
      </x:c>
      <x:c r="E291" s="25" t="str">
        <x:v>Trident Swiftness</x:v>
      </x:c>
      <x:c r="F291" s="30" t="n">
        <x:v>250</x:v>
      </x:c>
      <x:c r="G291" s="30" t="n">
        <x:f>IF(F291="","",FLOOR(INT(F291*'Price rules'!$B$5),'Price rules'!$B$9)+IF(MOD(INT(F291*'Price rules'!$B$5),'Price rules'!$B$9)&lt;'Price rules'!$B$10,0,'Price rules'!$B$9))</x:f>
        <x:v>210</x:v>
      </x:c>
      <x:c r="H291" s="30" t="n">
        <x:f>IF(F291="","",FLOOR(INT(F291*'Price rules'!$B$7),'Price rules'!$B$9)+IF(MOD(INT(F291*'Price rules'!$B$7),'Price rules'!$B$9)&lt;'Price rules'!$B$10,0,'Price rules'!$B$9))</x:f>
        <x:v>270</x:v>
      </x:c>
      <x:c r="I291" s="30" t="n">
        <x:f>IF(F291="","",FLOOR(INT(F291*'Price rules'!$B$8),'Price rules'!$B$9)+IF(MOD(INT(F291*'Price rules'!$B$8),'Price rules'!$B$9)&lt;'Price rules'!$B$10,0,'Price rules'!$B$9))</x:f>
        <x:v>300</x:v>
      </x:c>
      <x:c r="J291" s="30" t="n">
        <x:f>IF(N291="conditional","",SUMIFS($F$5:$F$394,$A$5:$A$394,A291,$C$5:$C$394,C291,$D$5:$D$394,"&lt;="&amp;D291)+SUMIF(Towers!$A$5:$A$30,A291,Towers!$E$5:$E$30))</x:f>
        <x:v>700</x:v>
      </x:c>
      <x:c r="K291" s="30" t="n">
        <x:v>580</x:v>
      </x:c>
      <x:c r="L291" s="25" t="str">
        <x:v>splash</x:v>
      </x:c>
      <x:c r="M291" s="25" t="str">
        <x:v>Improves trident speed and reach.</x:v>
      </x:c>
      <x:c r="N291" s="25" t="str">
        <x:v>fixed_upgrade_price</x:v>
      </x:c>
      <x:c r="O291" s="30" t="n">
        <x:v>250</x:v>
      </x:c>
      <x:c r="P291" s="25" t="str">
        <x:v>https://raw.githubusercontent.com/Btd6ModHelper/btd6-game-data/main/Towers/Mermonkey/Mermonkey-200.json</x:v>
      </x:c>
      <x:c r="Q291" s="25" t="str">
        <x:v>https://raw.githubusercontent.com/hemisemidemipresent/cyberquincy/master/jsons/costs.json</x:v>
      </x:c>
      <x:c r="R291" s="25" t="str">
        <x:v>https://raw.githubusercontent.com/Btd6ModHelper/btd6-game-data/main/textTable.json</x:v>
      </x:c>
      <x:c r="S291" s="25" t="str">
        <x:v>https://www.bloonswiki.com/Mermonkey_(BTD6)</x:v>
      </x:c>
      <x:c r="T291" s="25" t="str">
        <x:v>48.0</x:v>
      </x:c>
    </x:row>
    <x:row r="292" ht="64" customHeight="1">
      <x:c r="A292" s="25" t="str">
        <x:v>Mermonkey</x:v>
      </x:c>
      <x:c r="B292" s="80" t="str">
        <x:v>300</x:v>
      </x:c>
      <x:c r="C292" s="25" t="str">
        <x:v>top</x:v>
      </x:c>
      <x:c r="D292" s="25" t="n">
        <x:v>3</x:v>
      </x:c>
      <x:c r="E292" s="25" t="str">
        <x:v>Abyss Dweller</x:v>
      </x:c>
      <x:c r="F292" s="30" t="n">
        <x:v>1800</x:v>
      </x:c>
      <x:c r="G292" s="30" t="n">
        <x:f>IF(F292="","",FLOOR(INT(F292*'Price rules'!$B$5),'Price rules'!$B$9)+IF(MOD(INT(F292*'Price rules'!$B$5),'Price rules'!$B$9)&lt;'Price rules'!$B$10,0,'Price rules'!$B$9))</x:f>
        <x:v>1530</x:v>
      </x:c>
      <x:c r="H292" s="30" t="n">
        <x:f>IF(F292="","",FLOOR(INT(F292*'Price rules'!$B$7),'Price rules'!$B$9)+IF(MOD(INT(F292*'Price rules'!$B$7),'Price rules'!$B$9)&lt;'Price rules'!$B$10,0,'Price rules'!$B$9))</x:f>
        <x:v>1945</x:v>
      </x:c>
      <x:c r="I292" s="30" t="n">
        <x:f>IF(F292="","",FLOOR(INT(F292*'Price rules'!$B$8),'Price rules'!$B$9)+IF(MOD(INT(F292*'Price rules'!$B$8),'Price rules'!$B$9)&lt;'Price rules'!$B$10,0,'Price rules'!$B$9))</x:f>
        <x:v>2160</x:v>
      </x:c>
      <x:c r="J292" s="30" t="n">
        <x:f>IF(N292="conditional","",SUMIFS($F$5:$F$394,$A$5:$A$394,A292,$C$5:$C$394,C292,$D$5:$D$394,"&lt;="&amp;D292)+SUMIF(Towers!$A$5:$A$30,A292,Towers!$E$5:$E$30))</x:f>
        <x:v>2500</x:v>
      </x:c>
      <x:c r="K292" s="30" t="n">
        <x:v>2800</x:v>
      </x:c>
      <x:c r="L292" s="25" t="str">
        <x:v>support</x:v>
      </x:c>
      <x:c r="M292" s="25" t="str">
        <x:v>Adds a tentacled creature attack and nearby pierce support.</x:v>
      </x:c>
      <x:c r="N292" s="25" t="str">
        <x:v>fixed_upgrade_price</x:v>
      </x:c>
      <x:c r="O292" s="30" t="n">
        <x:v>1800</x:v>
      </x:c>
      <x:c r="P292" s="25" t="str">
        <x:v>https://raw.githubusercontent.com/Btd6ModHelper/btd6-game-data/main/Towers/Mermonkey/Mermonkey-300.json</x:v>
      </x:c>
      <x:c r="Q292" s="25" t="str">
        <x:v>https://raw.githubusercontent.com/hemisemidemipresent/cyberquincy/master/jsons/costs.json</x:v>
      </x:c>
      <x:c r="R292" s="25" t="str">
        <x:v>https://raw.githubusercontent.com/Btd6ModHelper/btd6-game-data/main/textTable.json</x:v>
      </x:c>
      <x:c r="S292" s="25" t="str">
        <x:v>https://www.bloonswiki.com/Mermonkey_(BTD6)</x:v>
      </x:c>
      <x:c r="T292" s="25" t="str">
        <x:v>48.0</x:v>
      </x:c>
    </x:row>
    <x:row r="293" ht="64" customHeight="1">
      <x:c r="A293" s="25" t="str">
        <x:v>Mermonkey</x:v>
      </x:c>
      <x:c r="B293" s="80" t="str">
        <x:v>400</x:v>
      </x:c>
      <x:c r="C293" s="25" t="str">
        <x:v>top</x:v>
      </x:c>
      <x:c r="D293" s="25" t="n">
        <x:v>4</x:v>
      </x:c>
      <x:c r="E293" s="25" t="str">
        <x:v>Abyssal Warrior</x:v>
      </x:c>
      <x:c r="F293" s="30" t="n">
        <x:v>4200</x:v>
      </x:c>
      <x:c r="G293" s="30" t="n">
        <x:f>IF(F293="","",FLOOR(INT(F293*'Price rules'!$B$5),'Price rules'!$B$9)+IF(MOD(INT(F293*'Price rules'!$B$5),'Price rules'!$B$9)&lt;'Price rules'!$B$10,0,'Price rules'!$B$9))</x:f>
        <x:v>3570</x:v>
      </x:c>
      <x:c r="H293" s="30" t="n">
        <x:f>IF(F293="","",FLOOR(INT(F293*'Price rules'!$B$7),'Price rules'!$B$9)+IF(MOD(INT(F293*'Price rules'!$B$7),'Price rules'!$B$9)&lt;'Price rules'!$B$10,0,'Price rules'!$B$9))</x:f>
        <x:v>4535</x:v>
      </x:c>
      <x:c r="I293" s="30" t="n">
        <x:f>IF(F293="","",FLOOR(INT(F293*'Price rules'!$B$8),'Price rules'!$B$9)+IF(MOD(INT(F293*'Price rules'!$B$8),'Price rules'!$B$9)&lt;'Price rules'!$B$10,0,'Price rules'!$B$9))</x:f>
        <x:v>5040</x:v>
      </x:c>
      <x:c r="J293" s="30" t="n">
        <x:f>IF(N293="conditional","",SUMIFS($F$5:$F$394,$A$5:$A$394,A293,$C$5:$C$394,C293,$D$5:$D$394,"&lt;="&amp;D293)+SUMIF(Towers!$A$5:$A$30,A293,Towers!$E$5:$E$30))</x:f>
        <x:v>6700</x:v>
      </x:c>
      <x:c r="K293" s="30" t="n">
        <x:v>11000</x:v>
      </x:c>
      <x:c r="L293" s="25" t="str">
        <x:v>support</x:v>
      </x:c>
      <x:c r="M293" s="25" t="str">
        <x:v>Strengthens the creature attack and adds slowing ink.</x:v>
      </x:c>
      <x:c r="N293" s="25" t="str">
        <x:v>fixed_upgrade_price</x:v>
      </x:c>
      <x:c r="O293" s="30" t="n">
        <x:v>4200</x:v>
      </x:c>
      <x:c r="P293" s="25" t="str">
        <x:v>https://raw.githubusercontent.com/Btd6ModHelper/btd6-game-data/main/Towers/Mermonkey/Mermonkey-400.json</x:v>
      </x:c>
      <x:c r="Q293" s="25" t="str">
        <x:v>https://raw.githubusercontent.com/hemisemidemipresent/cyberquincy/master/jsons/costs.json</x:v>
      </x:c>
      <x:c r="R293" s="25" t="str">
        <x:v>https://raw.githubusercontent.com/Btd6ModHelper/btd6-game-data/main/textTable.json</x:v>
      </x:c>
      <x:c r="S293" s="25" t="str">
        <x:v>https://www.bloonswiki.com/Mermonkey_(BTD6)</x:v>
      </x:c>
      <x:c r="T293" s="25" t="str">
        <x:v>48.0</x:v>
      </x:c>
    </x:row>
    <x:row r="294" ht="64" customHeight="1">
      <x:c r="A294" s="25" t="str">
        <x:v>Mermonkey</x:v>
      </x:c>
      <x:c r="B294" s="80" t="str">
        <x:v>500</x:v>
      </x:c>
      <x:c r="C294" s="25" t="str">
        <x:v>top</x:v>
      </x:c>
      <x:c r="D294" s="25" t="n">
        <x:v>5</x:v>
      </x:c>
      <x:c r="E294" s="25" t="str">
        <x:v>Lord of the Abyss</x:v>
      </x:c>
      <x:c r="F294" s="30" t="n">
        <x:v>23000</x:v>
      </x:c>
      <x:c r="G294" s="30" t="n">
        <x:f>IF(F294="","",FLOOR(INT(F294*'Price rules'!$B$5),'Price rules'!$B$9)+IF(MOD(INT(F294*'Price rules'!$B$5),'Price rules'!$B$9)&lt;'Price rules'!$B$10,0,'Price rules'!$B$9))</x:f>
        <x:v>19550</x:v>
      </x:c>
      <x:c r="H294" s="30" t="n">
        <x:f>IF(F294="","",FLOOR(INT(F294*'Price rules'!$B$7),'Price rules'!$B$9)+IF(MOD(INT(F294*'Price rules'!$B$7),'Price rules'!$B$9)&lt;'Price rules'!$B$10,0,'Price rules'!$B$9))</x:f>
        <x:v>24840</x:v>
      </x:c>
      <x:c r="I294" s="30" t="n">
        <x:f>IF(F294="","",FLOOR(INT(F294*'Price rules'!$B$8),'Price rules'!$B$9)+IF(MOD(INT(F294*'Price rules'!$B$8),'Price rules'!$B$9)&lt;'Price rules'!$B$10,0,'Price rules'!$B$9))</x:f>
        <x:v>27600</x:v>
      </x:c>
      <x:c r="J294" s="30" t="n">
        <x:f>IF(N294="conditional","",SUMIFS($F$5:$F$394,$A$5:$A$394,A294,$C$5:$C$394,C294,$D$5:$D$394,"&lt;="&amp;D294)+SUMIF(Towers!$A$5:$A$30,A294,Towers!$E$5:$E$30))</x:f>
        <x:v>29700</x:v>
      </x:c>
      <x:c r="K294" s="30" t="n">
        <x:v>68000</x:v>
      </x:c>
      <x:c r="L294" s="25" t="str">
        <x:v>support</x:v>
      </x:c>
      <x:c r="M294" s="25" t="str">
        <x:v>Greatly strengthens the abyssal creature and the pierce buff granted to nearby towers.</x:v>
      </x:c>
      <x:c r="N294" s="25" t="str">
        <x:v>fixed_upgrade_price</x:v>
      </x:c>
      <x:c r="O294" s="30" t="n">
        <x:v>23000</x:v>
      </x:c>
      <x:c r="P294" s="25" t="str">
        <x:v>https://raw.githubusercontent.com/Btd6ModHelper/btd6-game-data/main/Towers/Mermonkey/Mermonkey-500.json</x:v>
      </x:c>
      <x:c r="Q294" s="25" t="str">
        <x:v>https://raw.githubusercontent.com/hemisemidemipresent/cyberquincy/master/jsons/costs.json</x:v>
      </x:c>
      <x:c r="R294" s="25" t="str">
        <x:v>https://raw.githubusercontent.com/Btd6ModHelper/btd6-game-data/main/textTable.json</x:v>
      </x:c>
      <x:c r="S294" s="25" t="str">
        <x:v>https://www.bloonswiki.com/Mermonkey_(BTD6)</x:v>
      </x:c>
      <x:c r="T294" s="25" t="str">
        <x:v>48.0</x:v>
      </x:c>
    </x:row>
    <x:row r="295" ht="64" customHeight="1">
      <x:c r="A295" s="25" t="str">
        <x:v>Mermonkey</x:v>
      </x:c>
      <x:c r="B295" s="80" t="str">
        <x:v>010</x:v>
      </x:c>
      <x:c r="C295" s="25" t="str">
        <x:v>middle</x:v>
      </x:c>
      <x:c r="D295" s="25" t="n">
        <x:v>1</x:v>
      </x:c>
      <x:c r="E295" s="25" t="str">
        <x:v>Sharper Prongs</x:v>
      </x:c>
      <x:c r="F295" s="30" t="n">
        <x:v>200</x:v>
      </x:c>
      <x:c r="G295" s="30" t="n">
        <x:f>IF(F295="","",FLOOR(INT(F295*'Price rules'!$B$5),'Price rules'!$B$9)+IF(MOD(INT(F295*'Price rules'!$B$5),'Price rules'!$B$9)&lt;'Price rules'!$B$10,0,'Price rules'!$B$9))</x:f>
        <x:v>170</x:v>
      </x:c>
      <x:c r="H295" s="30" t="n">
        <x:f>IF(F295="","",FLOOR(INT(F295*'Price rules'!$B$7),'Price rules'!$B$9)+IF(MOD(INT(F295*'Price rules'!$B$7),'Price rules'!$B$9)&lt;'Price rules'!$B$10,0,'Price rules'!$B$9))</x:f>
        <x:v>215</x:v>
      </x:c>
      <x:c r="I295" s="30" t="n">
        <x:f>IF(F295="","",FLOOR(INT(F295*'Price rules'!$B$8),'Price rules'!$B$9)+IF(MOD(INT(F295*'Price rules'!$B$8),'Price rules'!$B$9)&lt;'Price rules'!$B$10,0,'Price rules'!$B$9))</x:f>
        <x:v>240</x:v>
      </x:c>
      <x:c r="J295" s="30" t="n">
        <x:f>IF(N295="conditional","",SUMIFS($F$5:$F$394,$A$5:$A$394,A295,$C$5:$C$394,C295,$D$5:$D$394,"&lt;="&amp;D295)+SUMIF(Towers!$A$5:$A$30,A295,Towers!$E$5:$E$30))</x:f>
        <x:v>500</x:v>
      </x:c>
      <x:c r="K295" s="30" t="n">
        <x:v>150</x:v>
      </x:c>
      <x:c r="L295" s="25" t="str">
        <x:v>splash</x:v>
      </x:c>
      <x:c r="M295" s="25" t="str">
        <x:v>Improves trident damage and pierce.</x:v>
      </x:c>
      <x:c r="N295" s="25" t="str">
        <x:v>fixed_upgrade_price</x:v>
      </x:c>
      <x:c r="O295" s="30" t="n">
        <x:v>200</x:v>
      </x:c>
      <x:c r="P295" s="25" t="str">
        <x:v>https://raw.githubusercontent.com/Btd6ModHelper/btd6-game-data/main/Towers/Mermonkey/Mermonkey-010.json</x:v>
      </x:c>
      <x:c r="Q295" s="25" t="str">
        <x:v>https://raw.githubusercontent.com/hemisemidemipresent/cyberquincy/master/jsons/costs.json</x:v>
      </x:c>
      <x:c r="R295" s="25" t="str">
        <x:v>https://raw.githubusercontent.com/Btd6ModHelper/btd6-game-data/main/textTable.json</x:v>
      </x:c>
      <x:c r="S295" s="25" t="str">
        <x:v>https://www.bloonswiki.com/Mermonkey_(BTD6)</x:v>
      </x:c>
      <x:c r="T295" s="25" t="str">
        <x:v>48.0</x:v>
      </x:c>
    </x:row>
    <x:row r="296" ht="64" customHeight="1">
      <x:c r="A296" s="25" t="str">
        <x:v>Mermonkey</x:v>
      </x:c>
      <x:c r="B296" s="80" t="str">
        <x:v>020</x:v>
      </x:c>
      <x:c r="C296" s="25" t="str">
        <x:v>middle</x:v>
      </x:c>
      <x:c r="D296" s="25" t="n">
        <x:v>2</x:v>
      </x:c>
      <x:c r="E296" s="25" t="str">
        <x:v>Tidal Chill</x:v>
      </x:c>
      <x:c r="F296" s="30" t="n">
        <x:v>225</x:v>
      </x:c>
      <x:c r="G296" s="30" t="n">
        <x:f>IF(F296="","",FLOOR(INT(F296*'Price rules'!$B$5),'Price rules'!$B$9)+IF(MOD(INT(F296*'Price rules'!$B$5),'Price rules'!$B$9)&lt;'Price rules'!$B$10,0,'Price rules'!$B$9))</x:f>
        <x:v>190</x:v>
      </x:c>
      <x:c r="H296" s="30" t="n">
        <x:f>IF(F296="","",FLOOR(INT(F296*'Price rules'!$B$7),'Price rules'!$B$9)+IF(MOD(INT(F296*'Price rules'!$B$7),'Price rules'!$B$9)&lt;'Price rules'!$B$10,0,'Price rules'!$B$9))</x:f>
        <x:v>245</x:v>
      </x:c>
      <x:c r="I296" s="30" t="n">
        <x:f>IF(F296="","",FLOOR(INT(F296*'Price rules'!$B$8),'Price rules'!$B$9)+IF(MOD(INT(F296*'Price rules'!$B$8),'Price rules'!$B$9)&lt;'Price rules'!$B$10,0,'Price rules'!$B$9))</x:f>
        <x:v>270</x:v>
      </x:c>
      <x:c r="J296" s="30" t="n">
        <x:f>IF(N296="conditional","",SUMIFS($F$5:$F$394,$A$5:$A$394,A296,$C$5:$C$394,C296,$D$5:$D$394,"&lt;="&amp;D296)+SUMIF(Towers!$A$5:$A$30,A296,Towers!$E$5:$E$30))</x:f>
        <x:v>725</x:v>
      </x:c>
      <x:c r="K296" s="30" t="n">
        <x:v>700</x:v>
      </x:c>
      <x:c r="L296" s="25" t="str">
        <x:v>splash</x:v>
      </x:c>
      <x:c r="M296" s="25" t="str">
        <x:v>Adds freezing to trident attacks.</x:v>
      </x:c>
      <x:c r="N296" s="25" t="str">
        <x:v>fixed_upgrade_price</x:v>
      </x:c>
      <x:c r="O296" s="30" t="n">
        <x:v>225</x:v>
      </x:c>
      <x:c r="P296" s="25" t="str">
        <x:v>https://raw.githubusercontent.com/Btd6ModHelper/btd6-game-data/main/Towers/Mermonkey/Mermonkey-020.json</x:v>
      </x:c>
      <x:c r="Q296" s="25" t="str">
        <x:v>https://raw.githubusercontent.com/hemisemidemipresent/cyberquincy/master/jsons/costs.json</x:v>
      </x:c>
      <x:c r="R296" s="25" t="str">
        <x:v>https://raw.githubusercontent.com/Btd6ModHelper/btd6-game-data/main/textTable.json</x:v>
      </x:c>
      <x:c r="S296" s="25" t="str">
        <x:v>https://www.bloonswiki.com/Mermonkey_(BTD6)</x:v>
      </x:c>
      <x:c r="T296" s="25" t="str">
        <x:v>48.0</x:v>
      </x:c>
    </x:row>
    <x:row r="297" ht="64" customHeight="1">
      <x:c r="A297" s="25" t="str">
        <x:v>Mermonkey</x:v>
      </x:c>
      <x:c r="B297" s="80" t="str">
        <x:v>030</x:v>
      </x:c>
      <x:c r="C297" s="25" t="str">
        <x:v>middle</x:v>
      </x:c>
      <x:c r="D297" s="25" t="n">
        <x:v>3</x:v>
      </x:c>
      <x:c r="E297" s="25" t="str">
        <x:v>Riptide Champion</x:v>
      </x:c>
      <x:c r="F297" s="30" t="n">
        <x:v>2000</x:v>
      </x:c>
      <x:c r="G297" s="30" t="n">
        <x:f>IF(F297="","",FLOOR(INT(F297*'Price rules'!$B$5),'Price rules'!$B$9)+IF(MOD(INT(F297*'Price rules'!$B$5),'Price rules'!$B$9)&lt;'Price rules'!$B$10,0,'Price rules'!$B$9))</x:f>
        <x:v>1700</x:v>
      </x:c>
      <x:c r="H297" s="30" t="n">
        <x:f>IF(F297="","",FLOOR(INT(F297*'Price rules'!$B$7),'Price rules'!$B$9)+IF(MOD(INT(F297*'Price rules'!$B$7),'Price rules'!$B$9)&lt;'Price rules'!$B$10,0,'Price rules'!$B$9))</x:f>
        <x:v>2160</x:v>
      </x:c>
      <x:c r="I297" s="30" t="n">
        <x:f>IF(F297="","",FLOOR(INT(F297*'Price rules'!$B$8),'Price rules'!$B$9)+IF(MOD(INT(F297*'Price rules'!$B$8),'Price rules'!$B$9)&lt;'Price rules'!$B$10,0,'Price rules'!$B$9))</x:f>
        <x:v>2400</x:v>
      </x:c>
      <x:c r="J297" s="30" t="n">
        <x:f>IF(N297="conditional","",SUMIFS($F$5:$F$394,$A$5:$A$394,A297,$C$5:$C$394,C297,$D$5:$D$394,"&lt;="&amp;D297)+SUMIF(Towers!$A$5:$A$30,A297,Towers!$E$5:$E$30))</x:f>
        <x:v>2725</x:v>
      </x:c>
      <x:c r="K297" s="30" t="n">
        <x:v>2500</x:v>
      </x:c>
      <x:c r="L297" s="25" t="str">
        <x:v>status</x:v>
      </x:c>
      <x:c r="M297" s="25" t="str">
        <x:v>Tridents become stronger as they travel.</x:v>
      </x:c>
      <x:c r="N297" s="25" t="str">
        <x:v>fixed_upgrade_price</x:v>
      </x:c>
      <x:c r="O297" s="30" t="n">
        <x:v>2000</x:v>
      </x:c>
      <x:c r="P297" s="25" t="str">
        <x:v>https://raw.githubusercontent.com/Btd6ModHelper/btd6-game-data/main/Towers/Mermonkey/Mermonkey-030.json</x:v>
      </x:c>
      <x:c r="Q297" s="25" t="str">
        <x:v>https://raw.githubusercontent.com/hemisemidemipresent/cyberquincy/master/jsons/costs.json</x:v>
      </x:c>
      <x:c r="R297" s="25" t="str">
        <x:v>https://raw.githubusercontent.com/Btd6ModHelper/btd6-game-data/main/textTable.json</x:v>
      </x:c>
      <x:c r="S297" s="25" t="str">
        <x:v>https://www.bloonswiki.com/Mermonkey_(BTD6)</x:v>
      </x:c>
      <x:c r="T297" s="25" t="str">
        <x:v>48.0</x:v>
      </x:c>
    </x:row>
    <x:row r="298" ht="64" customHeight="1">
      <x:c r="A298" s="25" t="str">
        <x:v>Mermonkey</x:v>
      </x:c>
      <x:c r="B298" s="80" t="str">
        <x:v>040</x:v>
      </x:c>
      <x:c r="C298" s="25" t="str">
        <x:v>middle</x:v>
      </x:c>
      <x:c r="D298" s="25" t="n">
        <x:v>4</x:v>
      </x:c>
      <x:c r="E298" s="25" t="str">
        <x:v>Arctic Knight</x:v>
      </x:c>
      <x:c r="F298" s="30" t="n">
        <x:v>8000</x:v>
      </x:c>
      <x:c r="G298" s="30" t="n">
        <x:f>IF(F298="","",FLOOR(INT(F298*'Price rules'!$B$5),'Price rules'!$B$9)+IF(MOD(INT(F298*'Price rules'!$B$5),'Price rules'!$B$9)&lt;'Price rules'!$B$10,0,'Price rules'!$B$9))</x:f>
        <x:v>6800</x:v>
      </x:c>
      <x:c r="H298" s="30" t="n">
        <x:f>IF(F298="","",FLOOR(INT(F298*'Price rules'!$B$7),'Price rules'!$B$9)+IF(MOD(INT(F298*'Price rules'!$B$7),'Price rules'!$B$9)&lt;'Price rules'!$B$10,0,'Price rules'!$B$9))</x:f>
        <x:v>8640</x:v>
      </x:c>
      <x:c r="I298" s="30" t="n">
        <x:f>IF(F298="","",FLOOR(INT(F298*'Price rules'!$B$8),'Price rules'!$B$9)+IF(MOD(INT(F298*'Price rules'!$B$8),'Price rules'!$B$9)&lt;'Price rules'!$B$10,0,'Price rules'!$B$9))</x:f>
        <x:v>9600</x:v>
      </x:c>
      <x:c r="J298" s="30" t="n">
        <x:f>IF(N298="conditional","",SUMIFS($F$5:$F$394,$A$5:$A$394,A298,$C$5:$C$394,C298,$D$5:$D$394,"&lt;="&amp;D298)+SUMIF(Towers!$A$5:$A$30,A298,Towers!$E$5:$E$30))</x:f>
        <x:v>10725</x:v>
      </x:c>
      <x:c r="K298" s="30" t="n">
        <x:v>16000</x:v>
      </x:c>
      <x:c r="L298" s="25" t="str">
        <x:v>status</x:v>
      </x:c>
      <x:c r="M298" s="25" t="str">
        <x:v>Adds an Ice Jet ability with bouncing ice projectiles and improves cold attacks.</x:v>
      </x:c>
      <x:c r="N298" s="25" t="str">
        <x:v>fixed_upgrade_price</x:v>
      </x:c>
      <x:c r="O298" s="30" t="n">
        <x:v>8000</x:v>
      </x:c>
      <x:c r="P298" s="25" t="str">
        <x:v>https://raw.githubusercontent.com/Btd6ModHelper/btd6-game-data/main/Towers/Mermonkey/Mermonkey-040.json</x:v>
      </x:c>
      <x:c r="Q298" s="25" t="str">
        <x:v>https://raw.githubusercontent.com/hemisemidemipresent/cyberquincy/master/jsons/costs.json</x:v>
      </x:c>
      <x:c r="R298" s="25" t="str">
        <x:v>https://raw.githubusercontent.com/Btd6ModHelper/btd6-game-data/main/textTable.json</x:v>
      </x:c>
      <x:c r="S298" s="25" t="str">
        <x:v>https://www.bloonswiki.com/Mermonkey_(BTD6)</x:v>
      </x:c>
      <x:c r="T298" s="25" t="str">
        <x:v>48.0</x:v>
      </x:c>
    </x:row>
    <x:row r="299" ht="64" customHeight="1">
      <x:c r="A299" s="25" t="str">
        <x:v>Mermonkey</x:v>
      </x:c>
      <x:c r="B299" s="80" t="str">
        <x:v>050</x:v>
      </x:c>
      <x:c r="C299" s="25" t="str">
        <x:v>middle</x:v>
      </x:c>
      <x:c r="D299" s="25" t="n">
        <x:v>5</x:v>
      </x:c>
      <x:c r="E299" s="25" t="str">
        <x:v>Popseidon</x:v>
      </x:c>
      <x:c r="F299" s="30" t="n">
        <x:v>52000</x:v>
      </x:c>
      <x:c r="G299" s="30" t="n">
        <x:f>IF(F299="","",FLOOR(INT(F299*'Price rules'!$B$5),'Price rules'!$B$9)+IF(MOD(INT(F299*'Price rules'!$B$5),'Price rules'!$B$9)&lt;'Price rules'!$B$10,0,'Price rules'!$B$9))</x:f>
        <x:v>44200</x:v>
      </x:c>
      <x:c r="H299" s="30" t="n">
        <x:f>IF(F299="","",FLOOR(INT(F299*'Price rules'!$B$7),'Price rules'!$B$9)+IF(MOD(INT(F299*'Price rules'!$B$7),'Price rules'!$B$9)&lt;'Price rules'!$B$10,0,'Price rules'!$B$9))</x:f>
        <x:v>56160</x:v>
      </x:c>
      <x:c r="I299" s="30" t="n">
        <x:f>IF(F299="","",FLOOR(INT(F299*'Price rules'!$B$8),'Price rules'!$B$9)+IF(MOD(INT(F299*'Price rules'!$B$8),'Price rules'!$B$9)&lt;'Price rules'!$B$10,0,'Price rules'!$B$9))</x:f>
        <x:v>62400</x:v>
      </x:c>
      <x:c r="J299" s="30" t="n">
        <x:f>IF(N299="conditional","",SUMIFS($F$5:$F$394,$A$5:$A$394,A299,$C$5:$C$394,C299,$D$5:$D$394,"&lt;="&amp;D299)+SUMIF(Towers!$A$5:$A$30,A299,Towers!$E$5:$E$30))</x:f>
        <x:v>62725</x:v>
      </x:c>
      <x:c r="K299" s="30" t="n">
        <x:v>70000</x:v>
      </x:c>
      <x:c r="L299" s="25" t="str">
        <x:v>status</x:v>
      </x:c>
      <x:c r="M299" s="25" t="str">
        <x:v>Greatly strengthens the cold-attack path and Ice Jet.</x:v>
      </x:c>
      <x:c r="N299" s="25" t="str">
        <x:v>fixed_upgrade_price</x:v>
      </x:c>
      <x:c r="O299" s="30" t="n">
        <x:v>52000</x:v>
      </x:c>
      <x:c r="P299" s="25" t="str">
        <x:v>https://raw.githubusercontent.com/Btd6ModHelper/btd6-game-data/main/Towers/Mermonkey/Mermonkey-050.json</x:v>
      </x:c>
      <x:c r="Q299" s="25" t="str">
        <x:v>https://raw.githubusercontent.com/hemisemidemipresent/cyberquincy/master/jsons/costs.json</x:v>
      </x:c>
      <x:c r="R299" s="25" t="str">
        <x:v>https://raw.githubusercontent.com/Btd6ModHelper/btd6-game-data/main/textTable.json</x:v>
      </x:c>
      <x:c r="S299" s="25" t="str">
        <x:v>https://www.bloonswiki.com/Mermonkey_(BTD6)</x:v>
      </x:c>
      <x:c r="T299" s="25" t="str">
        <x:v>48.0</x:v>
      </x:c>
    </x:row>
    <x:row r="300" ht="64" customHeight="1">
      <x:c r="A300" s="25" t="str">
        <x:v>Mermonkey</x:v>
      </x:c>
      <x:c r="B300" s="80" t="str">
        <x:v>001</x:v>
      </x:c>
      <x:c r="C300" s="25" t="str">
        <x:v>bottom</x:v>
      </x:c>
      <x:c r="D300" s="25" t="n">
        <x:v>1</x:v>
      </x:c>
      <x:c r="E300" s="25" t="str">
        <x:v>Echosense Precision</x:v>
      </x:c>
      <x:c r="F300" s="30" t="n">
        <x:v>200</x:v>
      </x:c>
      <x:c r="G300" s="30" t="n">
        <x:f>IF(F300="","",FLOOR(INT(F300*'Price rules'!$B$5),'Price rules'!$B$9)+IF(MOD(INT(F300*'Price rules'!$B$5),'Price rules'!$B$9)&lt;'Price rules'!$B$10,0,'Price rules'!$B$9))</x:f>
        <x:v>170</x:v>
      </x:c>
      <x:c r="H300" s="30" t="n">
        <x:f>IF(F300="","",FLOOR(INT(F300*'Price rules'!$B$7),'Price rules'!$B$9)+IF(MOD(INT(F300*'Price rules'!$B$7),'Price rules'!$B$9)&lt;'Price rules'!$B$10,0,'Price rules'!$B$9))</x:f>
        <x:v>215</x:v>
      </x:c>
      <x:c r="I300" s="30" t="n">
        <x:f>IF(F300="","",FLOOR(INT(F300*'Price rules'!$B$8),'Price rules'!$B$9)+IF(MOD(INT(F300*'Price rules'!$B$8),'Price rules'!$B$9)&lt;'Price rules'!$B$10,0,'Price rules'!$B$9))</x:f>
        <x:v>240</x:v>
      </x:c>
      <x:c r="J300" s="30" t="n">
        <x:f>IF(N300="conditional","",SUMIFS($F$5:$F$394,$A$5:$A$394,A300,$C$5:$C$394,C300,$D$5:$D$394,"&lt;="&amp;D300)+SUMIF(Towers!$A$5:$A$30,A300,Towers!$E$5:$E$30))</x:f>
        <x:v>500</x:v>
      </x:c>
      <x:c r="K300" s="30" t="n">
        <x:v>150</x:v>
      </x:c>
      <x:c r="L300" s="25" t="str">
        <x:v>splash</x:v>
      </x:c>
      <x:c r="M300" s="25" t="str">
        <x:v>Adds Camo detection and homing accuracy.</x:v>
      </x:c>
      <x:c r="N300" s="25" t="str">
        <x:v>fixed_upgrade_price</x:v>
      </x:c>
      <x:c r="O300" s="30" t="n">
        <x:v>200</x:v>
      </x:c>
      <x:c r="P300" s="25" t="str">
        <x:v>https://raw.githubusercontent.com/Btd6ModHelper/btd6-game-data/main/Towers/Mermonkey/Mermonkey-001.json</x:v>
      </x:c>
      <x:c r="Q300" s="25" t="str">
        <x:v>https://raw.githubusercontent.com/hemisemidemipresent/cyberquincy/master/jsons/costs.json</x:v>
      </x:c>
      <x:c r="R300" s="25" t="str">
        <x:v>https://raw.githubusercontent.com/Btd6ModHelper/btd6-game-data/main/textTable.json</x:v>
      </x:c>
      <x:c r="S300" s="25" t="str">
        <x:v>https://www.bloonswiki.com/Mermonkey_(BTD6)</x:v>
      </x:c>
      <x:c r="T300" s="25" t="str">
        <x:v>48.0</x:v>
      </x:c>
    </x:row>
    <x:row r="301" ht="64" customHeight="1">
      <x:c r="A301" s="25" t="str">
        <x:v>Mermonkey</x:v>
      </x:c>
      <x:c r="B301" s="80" t="str">
        <x:v>002</x:v>
      </x:c>
      <x:c r="C301" s="25" t="str">
        <x:v>bottom</x:v>
      </x:c>
      <x:c r="D301" s="25" t="n">
        <x:v>2</x:v>
      </x:c>
      <x:c r="E301" s="25" t="str">
        <x:v>Echosense Network</x:v>
      </x:c>
      <x:c r="F301" s="30" t="n">
        <x:v>280</x:v>
      </x:c>
      <x:c r="G301" s="30" t="n">
        <x:f>IF(F301="","",FLOOR(INT(F301*'Price rules'!$B$5),'Price rules'!$B$9)+IF(MOD(INT(F301*'Price rules'!$B$5),'Price rules'!$B$9)&lt;'Price rules'!$B$10,0,'Price rules'!$B$9))</x:f>
        <x:v>240</x:v>
      </x:c>
      <x:c r="H301" s="30" t="n">
        <x:f>IF(F301="","",FLOOR(INT(F301*'Price rules'!$B$7),'Price rules'!$B$9)+IF(MOD(INT(F301*'Price rules'!$B$7),'Price rules'!$B$9)&lt;'Price rules'!$B$10,0,'Price rules'!$B$9))</x:f>
        <x:v>300</x:v>
      </x:c>
      <x:c r="I301" s="30" t="n">
        <x:f>IF(F301="","",FLOOR(INT(F301*'Price rules'!$B$8),'Price rules'!$B$9)+IF(MOD(INT(F301*'Price rules'!$B$8),'Price rules'!$B$9)&lt;'Price rules'!$B$10,0,'Price rules'!$B$9))</x:f>
        <x:v>335</x:v>
      </x:c>
      <x:c r="J301" s="30" t="n">
        <x:f>IF(N301="conditional","",SUMIFS($F$5:$F$394,$A$5:$A$394,A301,$C$5:$C$394,C301,$D$5:$D$394,"&lt;="&amp;D301)+SUMIF(Towers!$A$5:$A$30,A301,Towers!$E$5:$E$30))</x:f>
        <x:v>780</x:v>
      </x:c>
      <x:c r="K301" s="30" t="n">
        <x:v>670</x:v>
      </x:c>
      <x:c r="L301" s="25" t="str">
        <x:v>splash</x:v>
      </x:c>
      <x:c r="M301" s="25" t="str">
        <x:v>Adds a range benefit from other Mermonkeys, subject to a stack limit.</x:v>
      </x:c>
      <x:c r="N301" s="25" t="str">
        <x:v>fixed_upgrade_price</x:v>
      </x:c>
      <x:c r="O301" s="30" t="n">
        <x:v>280</x:v>
      </x:c>
      <x:c r="P301" s="25" t="str">
        <x:v>https://raw.githubusercontent.com/Btd6ModHelper/btd6-game-data/main/Towers/Mermonkey/Mermonkey-002.json</x:v>
      </x:c>
      <x:c r="Q301" s="25" t="str">
        <x:v>https://raw.githubusercontent.com/hemisemidemipresent/cyberquincy/master/jsons/costs.json</x:v>
      </x:c>
      <x:c r="R301" s="25" t="str">
        <x:v>https://raw.githubusercontent.com/Btd6ModHelper/btd6-game-data/main/textTable.json</x:v>
      </x:c>
      <x:c r="S301" s="25" t="str">
        <x:v>https://www.bloonswiki.com/Mermonkey_(BTD6)</x:v>
      </x:c>
      <x:c r="T301" s="25" t="str">
        <x:v>48.0</x:v>
      </x:c>
    </x:row>
    <x:row r="302" ht="64" customHeight="1">
      <x:c r="A302" s="25" t="str">
        <x:v>Mermonkey</x:v>
      </x:c>
      <x:c r="B302" s="80" t="str">
        <x:v>003</x:v>
      </x:c>
      <x:c r="C302" s="25" t="str">
        <x:v>bottom</x:v>
      </x:c>
      <x:c r="D302" s="25" t="n">
        <x:v>3</x:v>
      </x:c>
      <x:c r="E302" s="25" t="str">
        <x:v>Alluring Melody</x:v>
      </x:c>
      <x:c r="F302" s="30" t="n">
        <x:v>2000</x:v>
      </x:c>
      <x:c r="G302" s="30" t="n">
        <x:f>IF(F302="","",FLOOR(INT(F302*'Price rules'!$B$5),'Price rules'!$B$9)+IF(MOD(INT(F302*'Price rules'!$B$5),'Price rules'!$B$9)&lt;'Price rules'!$B$10,0,'Price rules'!$B$9))</x:f>
        <x:v>1700</x:v>
      </x:c>
      <x:c r="H302" s="30" t="n">
        <x:f>IF(F302="","",FLOOR(INT(F302*'Price rules'!$B$7),'Price rules'!$B$9)+IF(MOD(INT(F302*'Price rules'!$B$7),'Price rules'!$B$9)&lt;'Price rules'!$B$10,0,'Price rules'!$B$9))</x:f>
        <x:v>2160</x:v>
      </x:c>
      <x:c r="I302" s="30" t="n">
        <x:f>IF(F302="","",FLOOR(INT(F302*'Price rules'!$B$8),'Price rules'!$B$9)+IF(MOD(INT(F302*'Price rules'!$B$8),'Price rules'!$B$9)&lt;'Price rules'!$B$10,0,'Price rules'!$B$9))</x:f>
        <x:v>2400</x:v>
      </x:c>
      <x:c r="J302" s="30" t="n">
        <x:f>IF(N302="conditional","",SUMIFS($F$5:$F$394,$A$5:$A$394,A302,$C$5:$C$394,C302,$D$5:$D$394,"&lt;="&amp;D302)+SUMIF(Towers!$A$5:$A$30,A302,Towers!$E$5:$E$30))</x:f>
        <x:v>2780</x:v>
      </x:c>
      <x:c r="K302" s="30" t="n">
        <x:v>3000</x:v>
      </x:c>
      <x:c r="L302" s="25" t="str">
        <x:v>slow</x:v>
      </x:c>
      <x:c r="M302" s="25" t="str">
        <x:v>Adds a song that diverts ordinary Bloons; it can remove Camo and trigger damage-over-time effects.</x:v>
      </x:c>
      <x:c r="N302" s="25" t="str">
        <x:v>fixed_upgrade_price</x:v>
      </x:c>
      <x:c r="O302" s="30" t="n">
        <x:v>2000</x:v>
      </x:c>
      <x:c r="P302" s="25" t="str">
        <x:v>https://raw.githubusercontent.com/Btd6ModHelper/btd6-game-data/main/Towers/Mermonkey/Mermonkey-003.json</x:v>
      </x:c>
      <x:c r="Q302" s="25" t="str">
        <x:v>https://raw.githubusercontent.com/hemisemidemipresent/cyberquincy/master/jsons/costs.json</x:v>
      </x:c>
      <x:c r="R302" s="25" t="str">
        <x:v>https://raw.githubusercontent.com/Btd6ModHelper/btd6-game-data/main/textTable.json</x:v>
      </x:c>
      <x:c r="S302" s="25" t="str">
        <x:v>https://www.bloonswiki.com/Mermonkey_(BTD6)</x:v>
      </x:c>
      <x:c r="T302" s="25" t="str">
        <x:v>48.0</x:v>
      </x:c>
    </x:row>
    <x:row r="303" ht="64" customHeight="1">
      <x:c r="A303" s="25" t="str">
        <x:v>Mermonkey</x:v>
      </x:c>
      <x:c r="B303" s="80" t="str">
        <x:v>004</x:v>
      </x:c>
      <x:c r="C303" s="25" t="str">
        <x:v>bottom</x:v>
      </x:c>
      <x:c r="D303" s="25" t="n">
        <x:v>4</x:v>
      </x:c>
      <x:c r="E303" s="25" t="str">
        <x:v>Symphonic Resonance</x:v>
      </x:c>
      <x:c r="F303" s="30" t="n">
        <x:v>7600</x:v>
      </x:c>
      <x:c r="G303" s="30" t="n">
        <x:f>IF(F303="","",FLOOR(INT(F303*'Price rules'!$B$5),'Price rules'!$B$9)+IF(MOD(INT(F303*'Price rules'!$B$5),'Price rules'!$B$9)&lt;'Price rules'!$B$10,0,'Price rules'!$B$9))</x:f>
        <x:v>6460</x:v>
      </x:c>
      <x:c r="H303" s="30" t="n">
        <x:f>IF(F303="","",FLOOR(INT(F303*'Price rules'!$B$7),'Price rules'!$B$9)+IF(MOD(INT(F303*'Price rules'!$B$7),'Price rules'!$B$9)&lt;'Price rules'!$B$10,0,'Price rules'!$B$9))</x:f>
        <x:v>8210</x:v>
      </x:c>
      <x:c r="I303" s="30" t="n">
        <x:f>IF(F303="","",FLOOR(INT(F303*'Price rules'!$B$8),'Price rules'!$B$9)+IF(MOD(INT(F303*'Price rules'!$B$8),'Price rules'!$B$9)&lt;'Price rules'!$B$10,0,'Price rules'!$B$9))</x:f>
        <x:v>9120</x:v>
      </x:c>
      <x:c r="J303" s="30" t="n">
        <x:f>IF(N303="conditional","",SUMIFS($F$5:$F$394,$A$5:$A$394,A303,$C$5:$C$394,C303,$D$5:$D$394,"&lt;="&amp;D303)+SUMIF(Towers!$A$5:$A$30,A303,Towers!$E$5:$E$30))</x:f>
        <x:v>10380</x:v>
      </x:c>
      <x:c r="K303" s="30" t="n">
        <x:v>14500</x:v>
      </x:c>
      <x:c r="L303" s="25" t="str">
        <x:v>slow</x:v>
      </x:c>
      <x:c r="M303" s="25" t="str">
        <x:v>Improves the song, affects eligible MOAB-class targets, and allows a selected lure position.</x:v>
      </x:c>
      <x:c r="N303" s="25" t="str">
        <x:v>fixed_upgrade_price</x:v>
      </x:c>
      <x:c r="O303" s="30" t="n">
        <x:v>7600</x:v>
      </x:c>
      <x:c r="P303" s="25" t="str">
        <x:v>https://raw.githubusercontent.com/Btd6ModHelper/btd6-game-data/main/Towers/Mermonkey/Mermonkey-004.json</x:v>
      </x:c>
      <x:c r="Q303" s="25" t="str">
        <x:v>https://raw.githubusercontent.com/hemisemidemipresent/cyberquincy/master/jsons/costs.json</x:v>
      </x:c>
      <x:c r="R303" s="25" t="str">
        <x:v>https://raw.githubusercontent.com/Btd6ModHelper/btd6-game-data/main/textTable.json</x:v>
      </x:c>
      <x:c r="S303" s="25" t="str">
        <x:v>https://www.bloonswiki.com/Mermonkey_(BTD6)</x:v>
      </x:c>
      <x:c r="T303" s="25" t="str">
        <x:v>48.0</x:v>
      </x:c>
    </x:row>
    <x:row r="304" ht="64" customHeight="1">
      <x:c r="A304" s="25" t="str">
        <x:v>Mermonkey</x:v>
      </x:c>
      <x:c r="B304" s="80" t="str">
        <x:v>005</x:v>
      </x:c>
      <x:c r="C304" s="25" t="str">
        <x:v>bottom</x:v>
      </x:c>
      <x:c r="D304" s="25" t="n">
        <x:v>5</x:v>
      </x:c>
      <x:c r="E304" s="25" t="str">
        <x:v>The Final Harmonic</x:v>
      </x:c>
      <x:c r="F304" s="30" t="n">
        <x:v>25000</x:v>
      </x:c>
      <x:c r="G304" s="30" t="n">
        <x:f>IF(F304="","",FLOOR(INT(F304*'Price rules'!$B$5),'Price rules'!$B$9)+IF(MOD(INT(F304*'Price rules'!$B$5),'Price rules'!$B$9)&lt;'Price rules'!$B$10,0,'Price rules'!$B$9))</x:f>
        <x:v>21250</x:v>
      </x:c>
      <x:c r="H304" s="30" t="n">
        <x:f>IF(F304="","",FLOOR(INT(F304*'Price rules'!$B$7),'Price rules'!$B$9)+IF(MOD(INT(F304*'Price rules'!$B$7),'Price rules'!$B$9)&lt;'Price rules'!$B$10,0,'Price rules'!$B$9))</x:f>
        <x:v>27000</x:v>
      </x:c>
      <x:c r="I304" s="30" t="n">
        <x:f>IF(F304="","",FLOOR(INT(F304*'Price rules'!$B$8),'Price rules'!$B$9)+IF(MOD(INT(F304*'Price rules'!$B$8),'Price rules'!$B$9)&lt;'Price rules'!$B$10,0,'Price rules'!$B$9))</x:f>
        <x:v>30000</x:v>
      </x:c>
      <x:c r="J304" s="30" t="n">
        <x:f>IF(N304="conditional","",SUMIFS($F$5:$F$394,$A$5:$A$394,A304,$C$5:$C$394,C304,$D$5:$D$394,"&lt;="&amp;D304)+SUMIF(Towers!$A$5:$A$30,A304,Towers!$E$5:$E$30))</x:f>
        <x:v>35380</x:v>
      </x:c>
      <x:c r="K304" s="30" t="n">
        <x:v>52000</x:v>
      </x:c>
      <x:c r="L304" s="25" t="str">
        <x:v>slow</x:v>
      </x:c>
      <x:c r="M304" s="25" t="str">
        <x:v>Improves the song and its targeting range and adds Hero and Magic-tower support.</x:v>
      </x:c>
      <x:c r="N304" s="25" t="str">
        <x:v>fixed_upgrade_price</x:v>
      </x:c>
      <x:c r="O304" s="30" t="n">
        <x:v>25000</x:v>
      </x:c>
      <x:c r="P304" s="25" t="str">
        <x:v>https://raw.githubusercontent.com/Btd6ModHelper/btd6-game-data/main/Towers/Mermonkey/Mermonkey-005.json</x:v>
      </x:c>
      <x:c r="Q304" s="25" t="str">
        <x:v>https://raw.githubusercontent.com/hemisemidemipresent/cyberquincy/master/jsons/costs.json</x:v>
      </x:c>
      <x:c r="R304" s="25" t="str">
        <x:v>https://raw.githubusercontent.com/Btd6ModHelper/btd6-game-data/main/textTable.json</x:v>
      </x:c>
      <x:c r="S304" s="25" t="str">
        <x:v>https://www.bloonswiki.com/Mermonkey_(BTD6)</x:v>
      </x:c>
      <x:c r="T304" s="25" t="str">
        <x:v>48.0</x:v>
      </x:c>
    </x:row>
    <x:row r="305" ht="64" customHeight="1">
      <x:c r="A305" s="25" t="str">
        <x:v>Skywarden</x:v>
      </x:c>
      <x:c r="B305" s="80" t="str">
        <x:v>100</x:v>
      </x:c>
      <x:c r="C305" s="25" t="str">
        <x:v>top</x:v>
      </x:c>
      <x:c r="D305" s="25" t="n">
        <x:v>1</x:v>
      </x:c>
      <x:c r="E305" s="25" t="str">
        <x:v>Aerial Attunement</x:v>
      </x:c>
      <x:c r="F305" s="30" t="n">
        <x:v>110</x:v>
      </x:c>
      <x:c r="G305" s="30" t="n">
        <x:f>IF(F305="","",FLOOR(INT(F305*'Price rules'!$B$5),'Price rules'!$B$9)+IF(MOD(INT(F305*'Price rules'!$B$5),'Price rules'!$B$9)&lt;'Price rules'!$B$10,0,'Price rules'!$B$9))</x:f>
        <x:v>95</x:v>
      </x:c>
      <x:c r="H305" s="30" t="n">
        <x:f>IF(F305="","",FLOOR(INT(F305*'Price rules'!$B$7),'Price rules'!$B$9)+IF(MOD(INT(F305*'Price rules'!$B$7),'Price rules'!$B$9)&lt;'Price rules'!$B$10,0,'Price rules'!$B$9))</x:f>
        <x:v>120</x:v>
      </x:c>
      <x:c r="I305" s="30" t="n">
        <x:f>IF(F305="","",FLOOR(INT(F305*'Price rules'!$B$8),'Price rules'!$B$9)+IF(MOD(INT(F305*'Price rules'!$B$8),'Price rules'!$B$9)&lt;'Price rules'!$B$10,0,'Price rules'!$B$9))</x:f>
        <x:v>130</x:v>
      </x:c>
      <x:c r="J305" s="30" t="n">
        <x:f>IF(N305="conditional","",SUMIFS($F$5:$F$394,$A$5:$A$394,A305,$C$5:$C$394,C305,$D$5:$D$394,"&lt;="&amp;D305)+SUMIF(Towers!$A$5:$A$30,A305,Towers!$E$5:$E$30))</x:f>
        <x:v>315</x:v>
      </x:c>
      <x:c r="K305" s="30"/>
      <x:c r="L305" s="25" t="str">
        <x:v>basic_dps</x:v>
      </x:c>
      <x:c r="M305" s="25" t="str">
        <x:v>Increases its range and grants a stackable range buff to nearby towers.</x:v>
      </x:c>
      <x:c r="N305" s="25" t="str">
        <x:v>fixed_upgrade_price</x:v>
      </x:c>
      <x:c r="O305" s="30" t="n">
        <x:v>110</x:v>
      </x:c>
      <x:c r="P305" s="25" t="str">
        <x:v>https://raw.githubusercontent.com/Btd6ModHelper/btd6-game-data/main/Towers/Skywarden/Skywarden-100.json</x:v>
      </x:c>
      <x:c r="Q305" s="25" t="str">
        <x:v>https://raw.githubusercontent.com/hemisemidemipresent/cyberquincy/master/jsons/costs.json</x:v>
      </x:c>
      <x:c r="R305" s="25" t="str">
        <x:v>https://raw.githubusercontent.com/Btd6ModHelper/btd6-game-data/main/textTable.json</x:v>
      </x:c>
      <x:c r="S305" s="25"/>
      <x:c r="T305" s="25"/>
    </x:row>
    <x:row r="306" ht="64" customHeight="1">
      <x:c r="A306" s="25" t="str">
        <x:v>Skywarden</x:v>
      </x:c>
      <x:c r="B306" s="80" t="str">
        <x:v>200</x:v>
      </x:c>
      <x:c r="C306" s="25" t="str">
        <x:v>top</x:v>
      </x:c>
      <x:c r="D306" s="25" t="n">
        <x:v>2</x:v>
      </x:c>
      <x:c r="E306" s="25" t="str">
        <x:v>Zephyr Sense</x:v>
      </x:c>
      <x:c r="F306" s="30" t="n">
        <x:v>215</x:v>
      </x:c>
      <x:c r="G306" s="30" t="n">
        <x:f>IF(F306="","",FLOOR(INT(F306*'Price rules'!$B$5),'Price rules'!$B$9)+IF(MOD(INT(F306*'Price rules'!$B$5),'Price rules'!$B$9)&lt;'Price rules'!$B$10,0,'Price rules'!$B$9))</x:f>
        <x:v>180</x:v>
      </x:c>
      <x:c r="H306" s="30" t="n">
        <x:f>IF(F306="","",FLOOR(INT(F306*'Price rules'!$B$7),'Price rules'!$B$9)+IF(MOD(INT(F306*'Price rules'!$B$7),'Price rules'!$B$9)&lt;'Price rules'!$B$10,0,'Price rules'!$B$9))</x:f>
        <x:v>230</x:v>
      </x:c>
      <x:c r="I306" s="30" t="n">
        <x:f>IF(F306="","",FLOOR(INT(F306*'Price rules'!$B$8),'Price rules'!$B$9)+IF(MOD(INT(F306*'Price rules'!$B$8),'Price rules'!$B$9)&lt;'Price rules'!$B$10,0,'Price rules'!$B$9))</x:f>
        <x:v>260</x:v>
      </x:c>
      <x:c r="J306" s="30" t="n">
        <x:f>IF(N306="conditional","",SUMIFS($F$5:$F$394,$A$5:$A$394,A306,$C$5:$C$394,C306,$D$5:$D$394,"&lt;="&amp;D306)+SUMIF(Towers!$A$5:$A$30,A306,Towers!$E$5:$E$30))</x:f>
        <x:v>530</x:v>
      </x:c>
      <x:c r="K306" s="30"/>
      <x:c r="L306" s="25" t="str">
        <x:v>basic_dps</x:v>
      </x:c>
      <x:c r="M306" s="25" t="str">
        <x:v>Adds Camo detection and a long-range stance with slower, more accurate attacks.</x:v>
      </x:c>
      <x:c r="N306" s="25" t="str">
        <x:v>fixed_upgrade_price</x:v>
      </x:c>
      <x:c r="O306" s="30" t="n">
        <x:v>215</x:v>
      </x:c>
      <x:c r="P306" s="25" t="str">
        <x:v>https://raw.githubusercontent.com/Btd6ModHelper/btd6-game-data/main/Towers/Skywarden/Skywarden-200.json</x:v>
      </x:c>
      <x:c r="Q306" s="25" t="str">
        <x:v>https://raw.githubusercontent.com/hemisemidemipresent/cyberquincy/master/jsons/costs.json</x:v>
      </x:c>
      <x:c r="R306" s="25" t="str">
        <x:v>https://raw.githubusercontent.com/Btd6ModHelper/btd6-game-data/main/textTable.json</x:v>
      </x:c>
      <x:c r="S306" s="25"/>
      <x:c r="T306" s="25"/>
    </x:row>
    <x:row r="307" ht="64" customHeight="1">
      <x:c r="A307" s="25" t="str">
        <x:v>Skywarden</x:v>
      </x:c>
      <x:c r="B307" s="80" t="str">
        <x:v>300</x:v>
      </x:c>
      <x:c r="C307" s="25" t="str">
        <x:v>top</x:v>
      </x:c>
      <x:c r="D307" s="25" t="n">
        <x:v>3</x:v>
      </x:c>
      <x:c r="E307" s="25" t="str">
        <x:v>Wind Weaver</x:v>
      </x:c>
      <x:c r="F307" s="30" t="n">
        <x:v>1650</x:v>
      </x:c>
      <x:c r="G307" s="30" t="n">
        <x:f>IF(F307="","",FLOOR(INT(F307*'Price rules'!$B$5),'Price rules'!$B$9)+IF(MOD(INT(F307*'Price rules'!$B$5),'Price rules'!$B$9)&lt;'Price rules'!$B$10,0,'Price rules'!$B$9))</x:f>
        <x:v>1400</x:v>
      </x:c>
      <x:c r="H307" s="30" t="n">
        <x:f>IF(F307="","",FLOOR(INT(F307*'Price rules'!$B$7),'Price rules'!$B$9)+IF(MOD(INT(F307*'Price rules'!$B$7),'Price rules'!$B$9)&lt;'Price rules'!$B$10,0,'Price rules'!$B$9))</x:f>
        <x:v>1780</x:v>
      </x:c>
      <x:c r="I307" s="30" t="n">
        <x:f>IF(F307="","",FLOOR(INT(F307*'Price rules'!$B$8),'Price rules'!$B$9)+IF(MOD(INT(F307*'Price rules'!$B$8),'Price rules'!$B$9)&lt;'Price rules'!$B$10,0,'Price rules'!$B$9))</x:f>
        <x:v>1980</x:v>
      </x:c>
      <x:c r="J307" s="30" t="n">
        <x:f>IF(N307="conditional","",SUMIFS($F$5:$F$394,$A$5:$A$394,A307,$C$5:$C$394,C307,$D$5:$D$394,"&lt;="&amp;D307)+SUMIF(Towers!$A$5:$A$30,A307,Towers!$E$5:$E$30))</x:f>
        <x:v>2180</x:v>
      </x:c>
      <x:c r="K307" s="30"/>
      <x:c r="L307" s="25" t="str">
        <x:v>slow</x:v>
      </x:c>
      <x:c r="M307" s="25" t="str">
        <x:v>Adds a hit sequence with knockback, secondary arrows, and a pull effect.</x:v>
      </x:c>
      <x:c r="N307" s="25" t="str">
        <x:v>fixed_upgrade_price</x:v>
      </x:c>
      <x:c r="O307" s="30" t="n">
        <x:v>1650</x:v>
      </x:c>
      <x:c r="P307" s="25" t="str">
        <x:v>https://raw.githubusercontent.com/Btd6ModHelper/btd6-game-data/main/Towers/Skywarden/Skywarden-300.json</x:v>
      </x:c>
      <x:c r="Q307" s="25" t="str">
        <x:v>https://raw.githubusercontent.com/hemisemidemipresent/cyberquincy/master/jsons/costs.json</x:v>
      </x:c>
      <x:c r="R307" s="25" t="str">
        <x:v>https://raw.githubusercontent.com/Btd6ModHelper/btd6-game-data/main/textTable.json</x:v>
      </x:c>
      <x:c r="S307" s="25"/>
      <x:c r="T307" s="25"/>
    </x:row>
    <x:row r="308" ht="64" customHeight="1">
      <x:c r="A308" s="25" t="str">
        <x:v>Skywarden</x:v>
      </x:c>
      <x:c r="B308" s="80" t="str">
        <x:v>400</x:v>
      </x:c>
      <x:c r="C308" s="25" t="str">
        <x:v>top</x:v>
      </x:c>
      <x:c r="D308" s="25" t="n">
        <x:v>4</x:v>
      </x:c>
      <x:c r="E308" s="25" t="str">
        <x:v>Galesage</x:v>
      </x:c>
      <x:c r="F308" s="30" t="n">
        <x:v>3300</x:v>
      </x:c>
      <x:c r="G308" s="30" t="n">
        <x:f>IF(F308="","",FLOOR(INT(F308*'Price rules'!$B$5),'Price rules'!$B$9)+IF(MOD(INT(F308*'Price rules'!$B$5),'Price rules'!$B$9)&lt;'Price rules'!$B$10,0,'Price rules'!$B$9))</x:f>
        <x:v>2805</x:v>
      </x:c>
      <x:c r="H308" s="30" t="n">
        <x:f>IF(F308="","",FLOOR(INT(F308*'Price rules'!$B$7),'Price rules'!$B$9)+IF(MOD(INT(F308*'Price rules'!$B$7),'Price rules'!$B$9)&lt;'Price rules'!$B$10,0,'Price rules'!$B$9))</x:f>
        <x:v>3565</x:v>
      </x:c>
      <x:c r="I308" s="30" t="n">
        <x:f>IF(F308="","",FLOOR(INT(F308*'Price rules'!$B$8),'Price rules'!$B$9)+IF(MOD(INT(F308*'Price rules'!$B$8),'Price rules'!$B$9)&lt;'Price rules'!$B$10,0,'Price rules'!$B$9))</x:f>
        <x:v>3960</x:v>
      </x:c>
      <x:c r="J308" s="30" t="n">
        <x:f>IF(N308="conditional","",SUMIFS($F$5:$F$394,$A$5:$A$394,A308,$C$5:$C$394,C308,$D$5:$D$394,"&lt;="&amp;D308)+SUMIF(Towers!$A$5:$A$30,A308,Towers!$E$5:$E$30))</x:f>
        <x:v>5480</x:v>
      </x:c>
      <x:c r="K308" s="30"/>
      <x:c r="L308" s="25" t="str">
        <x:v>rapid_fire</x:v>
      </x:c>
      <x:c r="M308" s="25" t="str">
        <x:v>Adds rapid arrow volleys and disables Camo within its area.</x:v>
      </x:c>
      <x:c r="N308" s="25" t="str">
        <x:v>fixed_upgrade_price</x:v>
      </x:c>
      <x:c r="O308" s="30" t="n">
        <x:v>3300</x:v>
      </x:c>
      <x:c r="P308" s="25" t="str">
        <x:v>https://raw.githubusercontent.com/Btd6ModHelper/btd6-game-data/main/Towers/Skywarden/Skywarden-400.json</x:v>
      </x:c>
      <x:c r="Q308" s="25" t="str">
        <x:v>https://raw.githubusercontent.com/hemisemidemipresent/cyberquincy/master/jsons/costs.json</x:v>
      </x:c>
      <x:c r="R308" s="25" t="str">
        <x:v>https://raw.githubusercontent.com/Btd6ModHelper/btd6-game-data/main/textTable.json</x:v>
      </x:c>
      <x:c r="S308" s="25"/>
      <x:c r="T308" s="25"/>
    </x:row>
    <x:row r="309" ht="64" customHeight="1">
      <x:c r="A309" s="25" t="str">
        <x:v>Skywarden</x:v>
      </x:c>
      <x:c r="B309" s="80" t="str">
        <x:v>500</x:v>
      </x:c>
      <x:c r="C309" s="25" t="str">
        <x:v>top</x:v>
      </x:c>
      <x:c r="D309" s="25" t="n">
        <x:v>5</x:v>
      </x:c>
      <x:c r="E309" s="25" t="str">
        <x:v>Farwind Seer</x:v>
      </x:c>
      <x:c r="F309" s="30" t="n">
        <x:v>19000</x:v>
      </x:c>
      <x:c r="G309" s="30" t="n">
        <x:f>IF(F309="","",FLOOR(INT(F309*'Price rules'!$B$5),'Price rules'!$B$9)+IF(MOD(INT(F309*'Price rules'!$B$5),'Price rules'!$B$9)&lt;'Price rules'!$B$10,0,'Price rules'!$B$9))</x:f>
        <x:v>16150</x:v>
      </x:c>
      <x:c r="H309" s="30" t="n">
        <x:f>IF(F309="","",FLOOR(INT(F309*'Price rules'!$B$7),'Price rules'!$B$9)+IF(MOD(INT(F309*'Price rules'!$B$7),'Price rules'!$B$9)&lt;'Price rules'!$B$10,0,'Price rules'!$B$9))</x:f>
        <x:v>20520</x:v>
      </x:c>
      <x:c r="I309" s="30" t="n">
        <x:f>IF(F309="","",FLOOR(INT(F309*'Price rules'!$B$8),'Price rules'!$B$9)+IF(MOD(INT(F309*'Price rules'!$B$8),'Price rules'!$B$9)&lt;'Price rules'!$B$10,0,'Price rules'!$B$9))</x:f>
        <x:v>22800</x:v>
      </x:c>
      <x:c r="J309" s="30" t="n">
        <x:f>IF(N309="conditional","",SUMIFS($F$5:$F$394,$A$5:$A$394,A309,$C$5:$C$394,C309,$D$5:$D$394,"&lt;="&amp;D309)+SUMIF(Towers!$A$5:$A$30,A309,Towers!$E$5:$E$30))</x:f>
        <x:v>24480</x:v>
      </x:c>
      <x:c r="K309" s="30"/>
      <x:c r="L309" s="25" t="str">
        <x:v>sniper</x:v>
      </x:c>
      <x:c r="M309" s="25" t="str">
        <x:v>Increases damage according to the distance traveled by the attack.</x:v>
      </x:c>
      <x:c r="N309" s="25" t="str">
        <x:v>fixed_upgrade_price</x:v>
      </x:c>
      <x:c r="O309" s="30" t="n">
        <x:v>19000</x:v>
      </x:c>
      <x:c r="P309" s="25" t="str">
        <x:v>https://raw.githubusercontent.com/Btd6ModHelper/btd6-game-data/main/Towers/Skywarden/Skywarden-500.json</x:v>
      </x:c>
      <x:c r="Q309" s="25" t="str">
        <x:v>https://raw.githubusercontent.com/hemisemidemipresent/cyberquincy/master/jsons/costs.json</x:v>
      </x:c>
      <x:c r="R309" s="25" t="str">
        <x:v>https://raw.githubusercontent.com/Btd6ModHelper/btd6-game-data/main/textTable.json</x:v>
      </x:c>
      <x:c r="S309" s="25"/>
      <x:c r="T309" s="25"/>
    </x:row>
    <x:row r="310" ht="64" customHeight="1">
      <x:c r="A310" s="25" t="str">
        <x:v>Skywarden</x:v>
      </x:c>
      <x:c r="B310" s="80" t="str">
        <x:v>010</x:v>
      </x:c>
      <x:c r="C310" s="25" t="str">
        <x:v>middle</x:v>
      </x:c>
      <x:c r="D310" s="25" t="n">
        <x:v>1</x:v>
      </x:c>
      <x:c r="E310" s="25" t="str">
        <x:v>Storm's Pulse</x:v>
      </x:c>
      <x:c r="F310" s="30" t="n">
        <x:v>175</x:v>
      </x:c>
      <x:c r="G310" s="30" t="n">
        <x:f>IF(F310="","",FLOOR(INT(F310*'Price rules'!$B$5),'Price rules'!$B$9)+IF(MOD(INT(F310*'Price rules'!$B$5),'Price rules'!$B$9)&lt;'Price rules'!$B$10,0,'Price rules'!$B$9))</x:f>
        <x:v>150</x:v>
      </x:c>
      <x:c r="H310" s="30" t="n">
        <x:f>IF(F310="","",FLOOR(INT(F310*'Price rules'!$B$7),'Price rules'!$B$9)+IF(MOD(INT(F310*'Price rules'!$B$7),'Price rules'!$B$9)&lt;'Price rules'!$B$10,0,'Price rules'!$B$9))</x:f>
        <x:v>190</x:v>
      </x:c>
      <x:c r="I310" s="30" t="n">
        <x:f>IF(F310="","",FLOOR(INT(F310*'Price rules'!$B$8),'Price rules'!$B$9)+IF(MOD(INT(F310*'Price rules'!$B$8),'Price rules'!$B$9)&lt;'Price rules'!$B$10,0,'Price rules'!$B$9))</x:f>
        <x:v>210</x:v>
      </x:c>
      <x:c r="J310" s="30" t="n">
        <x:f>IF(N310="conditional","",SUMIFS($F$5:$F$394,$A$5:$A$394,A310,$C$5:$C$394,C310,$D$5:$D$394,"&lt;="&amp;D310)+SUMIF(Towers!$A$5:$A$30,A310,Towers!$E$5:$E$30))</x:f>
        <x:v>380</x:v>
      </x:c>
      <x:c r="K310" s="30"/>
      <x:c r="L310" s="25" t="str">
        <x:v>basic_dps</x:v>
      </x:c>
      <x:c r="M310" s="25" t="str">
        <x:v>Increases arrow speed and the attack-speed bonus from consecutive hits.</x:v>
      </x:c>
      <x:c r="N310" s="25" t="str">
        <x:v>fixed_upgrade_price</x:v>
      </x:c>
      <x:c r="O310" s="30" t="n">
        <x:v>175</x:v>
      </x:c>
      <x:c r="P310" s="25" t="str">
        <x:v>https://raw.githubusercontent.com/Btd6ModHelper/btd6-game-data/main/Towers/Skywarden/Skywarden-010.json</x:v>
      </x:c>
      <x:c r="Q310" s="25" t="str">
        <x:v>https://raw.githubusercontent.com/hemisemidemipresent/cyberquincy/master/jsons/costs.json</x:v>
      </x:c>
      <x:c r="R310" s="25" t="str">
        <x:v>https://raw.githubusercontent.com/Btd6ModHelper/btd6-game-data/main/textTable.json</x:v>
      </x:c>
      <x:c r="S310" s="25"/>
      <x:c r="T310" s="25"/>
    </x:row>
    <x:row r="311" ht="64" customHeight="1">
      <x:c r="A311" s="25" t="str">
        <x:v>Skywarden</x:v>
      </x:c>
      <x:c r="B311" s="80" t="str">
        <x:v>020</x:v>
      </x:c>
      <x:c r="C311" s="25" t="str">
        <x:v>middle</x:v>
      </x:c>
      <x:c r="D311" s="25" t="n">
        <x:v>2</x:v>
      </x:c>
      <x:c r="E311" s="25" t="str">
        <x:v>Thundering Arc</x:v>
      </x:c>
      <x:c r="F311" s="30" t="n">
        <x:v>275</x:v>
      </x:c>
      <x:c r="G311" s="30" t="n">
        <x:f>IF(F311="","",FLOOR(INT(F311*'Price rules'!$B$5),'Price rules'!$B$9)+IF(MOD(INT(F311*'Price rules'!$B$5),'Price rules'!$B$9)&lt;'Price rules'!$B$10,0,'Price rules'!$B$9))</x:f>
        <x:v>235</x:v>
      </x:c>
      <x:c r="H311" s="30" t="n">
        <x:f>IF(F311="","",FLOOR(INT(F311*'Price rules'!$B$7),'Price rules'!$B$9)+IF(MOD(INT(F311*'Price rules'!$B$7),'Price rules'!$B$9)&lt;'Price rules'!$B$10,0,'Price rules'!$B$9))</x:f>
        <x:v>295</x:v>
      </x:c>
      <x:c r="I311" s="30" t="n">
        <x:f>IF(F311="","",FLOOR(INT(F311*'Price rules'!$B$8),'Price rules'!$B$9)+IF(MOD(INT(F311*'Price rules'!$B$8),'Price rules'!$B$9)&lt;'Price rules'!$B$10,0,'Price rules'!$B$9))</x:f>
        <x:v>330</x:v>
      </x:c>
      <x:c r="J311" s="30" t="n">
        <x:f>IF(N311="conditional","",SUMIFS($F$5:$F$394,$A$5:$A$394,A311,$C$5:$C$394,C311,$D$5:$D$394,"&lt;="&amp;D311)+SUMIF(Towers!$A$5:$A$30,A311,Towers!$E$5:$E$30))</x:f>
        <x:v>655</x:v>
      </x:c>
      <x:c r="K311" s="30"/>
      <x:c r="L311" s="25" t="str">
        <x:v>basic_dps</x:v>
      </x:c>
      <x:c r="M311" s="25" t="str">
        <x:v>Adds an explosion whose radius grows with travel distance; permits firing over obstacles and aiming at the ground.</x:v>
      </x:c>
      <x:c r="N311" s="25" t="str">
        <x:v>fixed_upgrade_price</x:v>
      </x:c>
      <x:c r="O311" s="30" t="n">
        <x:v>275</x:v>
      </x:c>
      <x:c r="P311" s="25" t="str">
        <x:v>https://raw.githubusercontent.com/Btd6ModHelper/btd6-game-data/main/Towers/Skywarden/Skywarden-020.json</x:v>
      </x:c>
      <x:c r="Q311" s="25" t="str">
        <x:v>https://raw.githubusercontent.com/hemisemidemipresent/cyberquincy/master/jsons/costs.json</x:v>
      </x:c>
      <x:c r="R311" s="25" t="str">
        <x:v>https://raw.githubusercontent.com/Btd6ModHelper/btd6-game-data/main/textTable.json</x:v>
      </x:c>
      <x:c r="S311" s="25"/>
      <x:c r="T311" s="25"/>
    </x:row>
    <x:row r="312" ht="64" customHeight="1">
      <x:c r="A312" s="25" t="str">
        <x:v>Skywarden</x:v>
      </x:c>
      <x:c r="B312" s="80" t="str">
        <x:v>030</x:v>
      </x:c>
      <x:c r="C312" s="25" t="str">
        <x:v>middle</x:v>
      </x:c>
      <x:c r="D312" s="25" t="n">
        <x:v>3</x:v>
      </x:c>
      <x:c r="E312" s="25" t="str">
        <x:v>Galvanic Conduit</x:v>
      </x:c>
      <x:c r="F312" s="30" t="n">
        <x:v>1800</x:v>
      </x:c>
      <x:c r="G312" s="30" t="n">
        <x:f>IF(F312="","",FLOOR(INT(F312*'Price rules'!$B$5),'Price rules'!$B$9)+IF(MOD(INT(F312*'Price rules'!$B$5),'Price rules'!$B$9)&lt;'Price rules'!$B$10,0,'Price rules'!$B$9))</x:f>
        <x:v>1530</x:v>
      </x:c>
      <x:c r="H312" s="30" t="n">
        <x:f>IF(F312="","",FLOOR(INT(F312*'Price rules'!$B$7),'Price rules'!$B$9)+IF(MOD(INT(F312*'Price rules'!$B$7),'Price rules'!$B$9)&lt;'Price rules'!$B$10,0,'Price rules'!$B$9))</x:f>
        <x:v>1945</x:v>
      </x:c>
      <x:c r="I312" s="30" t="n">
        <x:f>IF(F312="","",FLOOR(INT(F312*'Price rules'!$B$8),'Price rules'!$B$9)+IF(MOD(INT(F312*'Price rules'!$B$8),'Price rules'!$B$9)&lt;'Price rules'!$B$10,0,'Price rules'!$B$9))</x:f>
        <x:v>2160</x:v>
      </x:c>
      <x:c r="J312" s="30" t="n">
        <x:f>IF(N312="conditional","",SUMIFS($F$5:$F$394,$A$5:$A$394,A312,$C$5:$C$394,C312,$D$5:$D$394,"&lt;="&amp;D312)+SUMIF(Towers!$A$5:$A$30,A312,Towers!$E$5:$E$30))</x:f>
        <x:v>2455</x:v>
      </x:c>
      <x:c r="K312" s="30"/>
      <x:c r="L312" s="25" t="str">
        <x:v>status</x:v>
      </x:c>
      <x:c r="M312" s="25" t="str">
        <x:v>Charges a target to interact with Energy, Plasma, Sharp, and Shatter attacks; the sequence adds chain lightning and a damaging stun.</x:v>
      </x:c>
      <x:c r="N312" s="25" t="str">
        <x:v>fixed_upgrade_price</x:v>
      </x:c>
      <x:c r="O312" s="30" t="n">
        <x:v>1800</x:v>
      </x:c>
      <x:c r="P312" s="25" t="str">
        <x:v>https://raw.githubusercontent.com/Btd6ModHelper/btd6-game-data/main/Towers/Skywarden/Skywarden-030.json</x:v>
      </x:c>
      <x:c r="Q312" s="25" t="str">
        <x:v>https://raw.githubusercontent.com/hemisemidemipresent/cyberquincy/master/jsons/costs.json</x:v>
      </x:c>
      <x:c r="R312" s="25" t="str">
        <x:v>https://raw.githubusercontent.com/Btd6ModHelper/btd6-game-data/main/textTable.json</x:v>
      </x:c>
      <x:c r="S312" s="25"/>
      <x:c r="T312" s="25"/>
    </x:row>
    <x:row r="313" ht="64" customHeight="1">
      <x:c r="A313" s="25" t="str">
        <x:v>Skywarden</x:v>
      </x:c>
      <x:c r="B313" s="80" t="str">
        <x:v>040</x:v>
      </x:c>
      <x:c r="C313" s="25" t="str">
        <x:v>middle</x:v>
      </x:c>
      <x:c r="D313" s="25" t="n">
        <x:v>4</x:v>
      </x:c>
      <x:c r="E313" s="25" t="str">
        <x:v>Thunder's Decree</x:v>
      </x:c>
      <x:c r="F313" s="30" t="n">
        <x:v>2000</x:v>
      </x:c>
      <x:c r="G313" s="30" t="n">
        <x:f>IF(F313="","",FLOOR(INT(F313*'Price rules'!$B$5),'Price rules'!$B$9)+IF(MOD(INT(F313*'Price rules'!$B$5),'Price rules'!$B$9)&lt;'Price rules'!$B$10,0,'Price rules'!$B$9))</x:f>
        <x:v>1700</x:v>
      </x:c>
      <x:c r="H313" s="30" t="n">
        <x:f>IF(F313="","",FLOOR(INT(F313*'Price rules'!$B$7),'Price rules'!$B$9)+IF(MOD(INT(F313*'Price rules'!$B$7),'Price rules'!$B$9)&lt;'Price rules'!$B$10,0,'Price rules'!$B$9))</x:f>
        <x:v>2160</x:v>
      </x:c>
      <x:c r="I313" s="30" t="n">
        <x:f>IF(F313="","",FLOOR(INT(F313*'Price rules'!$B$8),'Price rules'!$B$9)+IF(MOD(INT(F313*'Price rules'!$B$8),'Price rules'!$B$9)&lt;'Price rules'!$B$10,0,'Price rules'!$B$9))</x:f>
        <x:v>2400</x:v>
      </x:c>
      <x:c r="J313" s="30" t="n">
        <x:f>IF(N313="conditional","",SUMIFS($F$5:$F$394,$A$5:$A$394,A313,$C$5:$C$394,C313,$D$5:$D$394,"&lt;="&amp;D313)+SUMIF(Towers!$A$5:$A$30,A313,Towers!$E$5:$E$30))</x:f>
        <x:v>4455</x:v>
      </x:c>
      <x:c r="K313" s="30"/>
      <x:c r="L313" s="25" t="str">
        <x:v>support</x:v>
      </x:c>
      <x:c r="M313" s="25" t="str">
        <x:v>Improves stunning and adds Thunder Charge, which temporarily improves nearby towers' projectiles.</x:v>
      </x:c>
      <x:c r="N313" s="25" t="str">
        <x:v>fixed_upgrade_price</x:v>
      </x:c>
      <x:c r="O313" s="30" t="n">
        <x:v>2000</x:v>
      </x:c>
      <x:c r="P313" s="25" t="str">
        <x:v>https://raw.githubusercontent.com/Btd6ModHelper/btd6-game-data/main/Towers/Skywarden/Skywarden-040.json</x:v>
      </x:c>
      <x:c r="Q313" s="25" t="str">
        <x:v>https://raw.githubusercontent.com/hemisemidemipresent/cyberquincy/master/jsons/costs.json</x:v>
      </x:c>
      <x:c r="R313" s="25" t="str">
        <x:v>https://raw.githubusercontent.com/Btd6ModHelper/btd6-game-data/main/textTable.json</x:v>
      </x:c>
      <x:c r="S313" s="25"/>
      <x:c r="T313" s="25"/>
    </x:row>
    <x:row r="314" ht="64" customHeight="1">
      <x:c r="A314" s="25" t="str">
        <x:v>Skywarden</x:v>
      </x:c>
      <x:c r="B314" s="80" t="str">
        <x:v>050</x:v>
      </x:c>
      <x:c r="C314" s="25" t="str">
        <x:v>middle</x:v>
      </x:c>
      <x:c r="D314" s="25" t="n">
        <x:v>5</x:v>
      </x:c>
      <x:c r="E314" s="25" t="str">
        <x:v>Stormwrath Archon</x:v>
      </x:c>
      <x:c r="F314" s="30" t="n">
        <x:v>35000</x:v>
      </x:c>
      <x:c r="G314" s="30" t="n">
        <x:f>IF(F314="","",FLOOR(INT(F314*'Price rules'!$B$5),'Price rules'!$B$9)+IF(MOD(INT(F314*'Price rules'!$B$5),'Price rules'!$B$9)&lt;'Price rules'!$B$10,0,'Price rules'!$B$9))</x:f>
        <x:v>29750</x:v>
      </x:c>
      <x:c r="H314" s="30" t="n">
        <x:f>IF(F314="","",FLOOR(INT(F314*'Price rules'!$B$7),'Price rules'!$B$9)+IF(MOD(INT(F314*'Price rules'!$B$7),'Price rules'!$B$9)&lt;'Price rules'!$B$10,0,'Price rules'!$B$9))</x:f>
        <x:v>37800</x:v>
      </x:c>
      <x:c r="I314" s="30" t="n">
        <x:f>IF(F314="","",FLOOR(INT(F314*'Price rules'!$B$8),'Price rules'!$B$9)+IF(MOD(INT(F314*'Price rules'!$B$8),'Price rules'!$B$9)&lt;'Price rules'!$B$10,0,'Price rules'!$B$9))</x:f>
        <x:v>42000</x:v>
      </x:c>
      <x:c r="J314" s="30" t="n">
        <x:f>IF(N314="conditional","",SUMIFS($F$5:$F$394,$A$5:$A$394,A314,$C$5:$C$394,C314,$D$5:$D$394,"&lt;="&amp;D314)+SUMIF(Towers!$A$5:$A$30,A314,Towers!$E$5:$E$30))</x:f>
        <x:v>39455</x:v>
      </x:c>
      <x:c r="K314" s="30"/>
      <x:c r="L314" s="25" t="str">
        <x:v>support</x:v>
      </x:c>
      <x:c r="M314" s="25" t="str">
        <x:v>Creates electrical conduits that react to attacks; Thunder Charge links them with lightning.</x:v>
      </x:c>
      <x:c r="N314" s="25" t="str">
        <x:v>fixed_upgrade_price</x:v>
      </x:c>
      <x:c r="O314" s="30" t="n">
        <x:v>35000</x:v>
      </x:c>
      <x:c r="P314" s="25" t="str">
        <x:v>https://raw.githubusercontent.com/Btd6ModHelper/btd6-game-data/main/Towers/Skywarden/Skywarden-050.json</x:v>
      </x:c>
      <x:c r="Q314" s="25" t="str">
        <x:v>https://raw.githubusercontent.com/hemisemidemipresent/cyberquincy/master/jsons/costs.json</x:v>
      </x:c>
      <x:c r="R314" s="25" t="str">
        <x:v>https://raw.githubusercontent.com/Btd6ModHelper/btd6-game-data/main/textTable.json</x:v>
      </x:c>
      <x:c r="S314" s="25"/>
      <x:c r="T314" s="25"/>
    </x:row>
    <x:row r="315" ht="64" customHeight="1">
      <x:c r="A315" s="25" t="str">
        <x:v>Skywarden</x:v>
      </x:c>
      <x:c r="B315" s="80" t="str">
        <x:v>001</x:v>
      </x:c>
      <x:c r="C315" s="25" t="str">
        <x:v>bottom</x:v>
      </x:c>
      <x:c r="D315" s="25" t="n">
        <x:v>1</x:v>
      </x:c>
      <x:c r="E315" s="25" t="str">
        <x:v>Shatterpoint</x:v>
      </x:c>
      <x:c r="F315" s="30" t="n">
        <x:v>150</x:v>
      </x:c>
      <x:c r="G315" s="30" t="n">
        <x:f>IF(F315="","",FLOOR(INT(F315*'Price rules'!$B$5),'Price rules'!$B$9)+IF(MOD(INT(F315*'Price rules'!$B$5),'Price rules'!$B$9)&lt;'Price rules'!$B$10,0,'Price rules'!$B$9))</x:f>
        <x:v>125</x:v>
      </x:c>
      <x:c r="H315" s="30" t="n">
        <x:f>IF(F315="","",FLOOR(INT(F315*'Price rules'!$B$7),'Price rules'!$B$9)+IF(MOD(INT(F315*'Price rules'!$B$7),'Price rules'!$B$9)&lt;'Price rules'!$B$10,0,'Price rules'!$B$9))</x:f>
        <x:v>160</x:v>
      </x:c>
      <x:c r="I315" s="30" t="n">
        <x:f>IF(F315="","",FLOOR(INT(F315*'Price rules'!$B$8),'Price rules'!$B$9)+IF(MOD(INT(F315*'Price rules'!$B$8),'Price rules'!$B$9)&lt;'Price rules'!$B$10,0,'Price rules'!$B$9))</x:f>
        <x:v>180</x:v>
      </x:c>
      <x:c r="J315" s="30" t="n">
        <x:f>IF(N315="conditional","",SUMIFS($F$5:$F$394,$A$5:$A$394,A315,$C$5:$C$394,C315,$D$5:$D$394,"&lt;="&amp;D315)+SUMIF(Towers!$A$5:$A$30,A315,Towers!$E$5:$E$30))</x:f>
        <x:v>355</x:v>
      </x:c>
      <x:c r="K315" s="30"/>
      <x:c r="L315" s="25" t="str">
        <x:v>basic_dps</x:v>
      </x:c>
      <x:c r="M315" s="25" t="str">
        <x:v>Improves pierce and accuracy and can shatter weak frozen targets.</x:v>
      </x:c>
      <x:c r="N315" s="25" t="str">
        <x:v>fixed_upgrade_price</x:v>
      </x:c>
      <x:c r="O315" s="30" t="n">
        <x:v>150</x:v>
      </x:c>
      <x:c r="P315" s="25" t="str">
        <x:v>https://raw.githubusercontent.com/Btd6ModHelper/btd6-game-data/main/Towers/Skywarden/Skywarden-001.json</x:v>
      </x:c>
      <x:c r="Q315" s="25" t="str">
        <x:v>https://raw.githubusercontent.com/hemisemidemipresent/cyberquincy/master/jsons/costs.json</x:v>
      </x:c>
      <x:c r="R315" s="25" t="str">
        <x:v>https://raw.githubusercontent.com/Btd6ModHelper/btd6-game-data/main/textTable.json</x:v>
      </x:c>
      <x:c r="S315" s="25"/>
      <x:c r="T315" s="25"/>
    </x:row>
    <x:row r="316" ht="64" customHeight="1">
      <x:c r="A316" s="25" t="str">
        <x:v>Skywarden</x:v>
      </x:c>
      <x:c r="B316" s="80" t="str">
        <x:v>002</x:v>
      </x:c>
      <x:c r="C316" s="25" t="str">
        <x:v>bottom</x:v>
      </x:c>
      <x:c r="D316" s="25" t="n">
        <x:v>2</x:v>
      </x:c>
      <x:c r="E316" s="25" t="str">
        <x:v>Icebore</x:v>
      </x:c>
      <x:c r="F316" s="30" t="n">
        <x:v>250</x:v>
      </x:c>
      <x:c r="G316" s="30" t="n">
        <x:f>IF(F316="","",FLOOR(INT(F316*'Price rules'!$B$5),'Price rules'!$B$9)+IF(MOD(INT(F316*'Price rules'!$B$5),'Price rules'!$B$9)&lt;'Price rules'!$B$10,0,'Price rules'!$B$9))</x:f>
        <x:v>210</x:v>
      </x:c>
      <x:c r="H316" s="30" t="n">
        <x:f>IF(F316="","",FLOOR(INT(F316*'Price rules'!$B$7),'Price rules'!$B$9)+IF(MOD(INT(F316*'Price rules'!$B$7),'Price rules'!$B$9)&lt;'Price rules'!$B$10,0,'Price rules'!$B$9))</x:f>
        <x:v>270</x:v>
      </x:c>
      <x:c r="I316" s="30" t="n">
        <x:f>IF(F316="","",FLOOR(INT(F316*'Price rules'!$B$8),'Price rules'!$B$9)+IF(MOD(INT(F316*'Price rules'!$B$8),'Price rules'!$B$9)&lt;'Price rules'!$B$10,0,'Price rules'!$B$9))</x:f>
        <x:v>300</x:v>
      </x:c>
      <x:c r="J316" s="30" t="n">
        <x:f>IF(N316="conditional","",SUMIFS($F$5:$F$394,$A$5:$A$394,A316,$C$5:$C$394,C316,$D$5:$D$394,"&lt;="&amp;D316)+SUMIF(Towers!$A$5:$A$30,A316,Towers!$E$5:$E$30))</x:f>
        <x:v>605</x:v>
      </x:c>
      <x:c r="K316" s="30"/>
      <x:c r="L316" s="25" t="str">
        <x:v>basic_dps</x:v>
      </x:c>
      <x:c r="M316" s="25" t="str">
        <x:v>Adds pierce and damage against frozen targets.</x:v>
      </x:c>
      <x:c r="N316" s="25" t="str">
        <x:v>fixed_upgrade_price</x:v>
      </x:c>
      <x:c r="O316" s="30" t="n">
        <x:v>250</x:v>
      </x:c>
      <x:c r="P316" s="25" t="str">
        <x:v>https://raw.githubusercontent.com/Btd6ModHelper/btd6-game-data/main/Towers/Skywarden/Skywarden-002.json</x:v>
      </x:c>
      <x:c r="Q316" s="25" t="str">
        <x:v>https://raw.githubusercontent.com/hemisemidemipresent/cyberquincy/master/jsons/costs.json</x:v>
      </x:c>
      <x:c r="R316" s="25" t="str">
        <x:v>https://raw.githubusercontent.com/Btd6ModHelper/btd6-game-data/main/textTable.json</x:v>
      </x:c>
      <x:c r="S316" s="25"/>
      <x:c r="T316" s="25"/>
    </x:row>
    <x:row r="317" ht="64" customHeight="1">
      <x:c r="A317" s="25" t="str">
        <x:v>Skywarden</x:v>
      </x:c>
      <x:c r="B317" s="80" t="str">
        <x:v>003</x:v>
      </x:c>
      <x:c r="C317" s="25" t="str">
        <x:v>bottom</x:v>
      </x:c>
      <x:c r="D317" s="25" t="n">
        <x:v>3</x:v>
      </x:c>
      <x:c r="E317" s="25" t="str">
        <x:v>Coldchain</x:v>
      </x:c>
      <x:c r="F317" s="30" t="n">
        <x:v>1500</x:v>
      </x:c>
      <x:c r="G317" s="30" t="n">
        <x:f>IF(F317="","",FLOOR(INT(F317*'Price rules'!$B$5),'Price rules'!$B$9)+IF(MOD(INT(F317*'Price rules'!$B$5),'Price rules'!$B$9)&lt;'Price rules'!$B$10,0,'Price rules'!$B$9))</x:f>
        <x:v>1275</x:v>
      </x:c>
      <x:c r="H317" s="30" t="n">
        <x:f>IF(F317="","",FLOOR(INT(F317*'Price rules'!$B$7),'Price rules'!$B$9)+IF(MOD(INT(F317*'Price rules'!$B$7),'Price rules'!$B$9)&lt;'Price rules'!$B$10,0,'Price rules'!$B$9))</x:f>
        <x:v>1620</x:v>
      </x:c>
      <x:c r="I317" s="30" t="n">
        <x:f>IF(F317="","",FLOOR(INT(F317*'Price rules'!$B$8),'Price rules'!$B$9)+IF(MOD(INT(F317*'Price rules'!$B$8),'Price rules'!$B$9)&lt;'Price rules'!$B$10,0,'Price rules'!$B$9))</x:f>
        <x:v>1800</x:v>
      </x:c>
      <x:c r="J317" s="30" t="n">
        <x:f>IF(N317="conditional","",SUMIFS($F$5:$F$394,$A$5:$A$394,A317,$C$5:$C$394,C317,$D$5:$D$394,"&lt;="&amp;D317)+SUMIF(Towers!$A$5:$A$30,A317,Towers!$E$5:$E$30))</x:f>
        <x:v>2105</x:v>
      </x:c>
      <x:c r="K317" s="30"/>
      <x:c r="L317" s="25" t="str">
        <x:v>status</x:v>
      </x:c>
      <x:c r="M317" s="25" t="str">
        <x:v>Adds a hit sequence that slows the target and nearby Bloons and produces freezing fragments.</x:v>
      </x:c>
      <x:c r="N317" s="25" t="str">
        <x:v>fixed_upgrade_price</x:v>
      </x:c>
      <x:c r="O317" s="30" t="n">
        <x:v>1500</x:v>
      </x:c>
      <x:c r="P317" s="25" t="str">
        <x:v>https://raw.githubusercontent.com/Btd6ModHelper/btd6-game-data/main/Towers/Skywarden/Skywarden-003.json</x:v>
      </x:c>
      <x:c r="Q317" s="25" t="str">
        <x:v>https://raw.githubusercontent.com/hemisemidemipresent/cyberquincy/master/jsons/costs.json</x:v>
      </x:c>
      <x:c r="R317" s="25" t="str">
        <x:v>https://raw.githubusercontent.com/Btd6ModHelper/btd6-game-data/main/textTable.json</x:v>
      </x:c>
      <x:c r="S317" s="25"/>
      <x:c r="T317" s="25"/>
    </x:row>
    <x:row r="318" ht="64" customHeight="1">
      <x:c r="A318" s="25" t="str">
        <x:v>Skywarden</x:v>
      </x:c>
      <x:c r="B318" s="80" t="str">
        <x:v>004</x:v>
      </x:c>
      <x:c r="C318" s="25" t="str">
        <x:v>bottom</x:v>
      </x:c>
      <x:c r="D318" s="25" t="n">
        <x:v>4</x:v>
      </x:c>
      <x:c r="E318" s="25" t="str">
        <x:v>Frozen Verdict</x:v>
      </x:c>
      <x:c r="F318" s="30" t="n">
        <x:v>3900</x:v>
      </x:c>
      <x:c r="G318" s="30" t="n">
        <x:f>IF(F318="","",FLOOR(INT(F318*'Price rules'!$B$5),'Price rules'!$B$9)+IF(MOD(INT(F318*'Price rules'!$B$5),'Price rules'!$B$9)&lt;'Price rules'!$B$10,0,'Price rules'!$B$9))</x:f>
        <x:v>3315</x:v>
      </x:c>
      <x:c r="H318" s="30" t="n">
        <x:f>IF(F318="","",FLOOR(INT(F318*'Price rules'!$B$7),'Price rules'!$B$9)+IF(MOD(INT(F318*'Price rules'!$B$7),'Price rules'!$B$9)&lt;'Price rules'!$B$10,0,'Price rules'!$B$9))</x:f>
        <x:v>4210</x:v>
      </x:c>
      <x:c r="I318" s="30" t="n">
        <x:f>IF(F318="","",FLOOR(INT(F318*'Price rules'!$B$8),'Price rules'!$B$9)+IF(MOD(INT(F318*'Price rules'!$B$8),'Price rules'!$B$9)&lt;'Price rules'!$B$10,0,'Price rules'!$B$9))</x:f>
        <x:v>4680</x:v>
      </x:c>
      <x:c r="J318" s="30" t="n">
        <x:f>IF(N318="conditional","",SUMIFS($F$5:$F$394,$A$5:$A$394,A318,$C$5:$C$394,C318,$D$5:$D$394,"&lt;="&amp;D318)+SUMIF(Towers!$A$5:$A$30,A318,Towers!$E$5:$E$30))</x:f>
        <x:v>6005</x:v>
      </x:c>
      <x:c r="K318" s="30"/>
      <x:c r="L318" s="25" t="str">
        <x:v>status</x:v>
      </x:c>
      <x:c r="M318" s="25" t="str">
        <x:v>Destroyed frozen targets leave track remnants that slow enemies and later explode.</x:v>
      </x:c>
      <x:c r="N318" s="25" t="str">
        <x:v>fixed_upgrade_price</x:v>
      </x:c>
      <x:c r="O318" s="30" t="n">
        <x:v>3900</x:v>
      </x:c>
      <x:c r="P318" s="25" t="str">
        <x:v>https://raw.githubusercontent.com/Btd6ModHelper/btd6-game-data/main/Towers/Skywarden/Skywarden-004.json</x:v>
      </x:c>
      <x:c r="Q318" s="25" t="str">
        <x:v>https://raw.githubusercontent.com/hemisemidemipresent/cyberquincy/master/jsons/costs.json</x:v>
      </x:c>
      <x:c r="R318" s="25" t="str">
        <x:v>https://raw.githubusercontent.com/Btd6ModHelper/btd6-game-data/main/textTable.json</x:v>
      </x:c>
      <x:c r="S318" s="25"/>
      <x:c r="T318" s="25"/>
    </x:row>
    <x:row r="319" ht="64" customHeight="1">
      <x:c r="A319" s="25" t="str">
        <x:v>Skywarden</x:v>
      </x:c>
      <x:c r="B319" s="80" t="str">
        <x:v>005</x:v>
      </x:c>
      <x:c r="C319" s="25" t="str">
        <x:v>bottom</x:v>
      </x:c>
      <x:c r="D319" s="25" t="n">
        <x:v>5</x:v>
      </x:c>
      <x:c r="E319" s="25" t="str">
        <x:v>Winter's Mercy</x:v>
      </x:c>
      <x:c r="F319" s="30" t="n">
        <x:v>20000</x:v>
      </x:c>
      <x:c r="G319" s="30" t="n">
        <x:f>IF(F319="","",FLOOR(INT(F319*'Price rules'!$B$5),'Price rules'!$B$9)+IF(MOD(INT(F319*'Price rules'!$B$5),'Price rules'!$B$9)&lt;'Price rules'!$B$10,0,'Price rules'!$B$9))</x:f>
        <x:v>17000</x:v>
      </x:c>
      <x:c r="H319" s="30" t="n">
        <x:f>IF(F319="","",FLOOR(INT(F319*'Price rules'!$B$7),'Price rules'!$B$9)+IF(MOD(INT(F319*'Price rules'!$B$7),'Price rules'!$B$9)&lt;'Price rules'!$B$10,0,'Price rules'!$B$9))</x:f>
        <x:v>21600</x:v>
      </x:c>
      <x:c r="I319" s="30" t="n">
        <x:f>IF(F319="","",FLOOR(INT(F319*'Price rules'!$B$8),'Price rules'!$B$9)+IF(MOD(INT(F319*'Price rules'!$B$8),'Price rules'!$B$9)&lt;'Price rules'!$B$10,0,'Price rules'!$B$9))</x:f>
        <x:v>24000</x:v>
      </x:c>
      <x:c r="J319" s="30" t="n">
        <x:f>IF(N319="conditional","",SUMIFS($F$5:$F$394,$A$5:$A$394,A319,$C$5:$C$394,C319,$D$5:$D$394,"&lt;="&amp;D319)+SUMIF(Towers!$A$5:$A$30,A319,Towers!$E$5:$E$30))</x:f>
        <x:v>26005</x:v>
      </x:c>
      <x:c r="K319" s="30"/>
      <x:c r="L319" s="25" t="str">
        <x:v>status</x:v>
      </x:c>
      <x:c r="M319" s="25" t="str">
        <x:v>Gains damage from frozen and shattered targets; frozen MOAB-class targets can produce ice explosions.</x:v>
      </x:c>
      <x:c r="N319" s="25" t="str">
        <x:v>fixed_upgrade_price</x:v>
      </x:c>
      <x:c r="O319" s="30" t="n">
        <x:v>20000</x:v>
      </x:c>
      <x:c r="P319" s="25" t="str">
        <x:v>https://raw.githubusercontent.com/Btd6ModHelper/btd6-game-data/main/Towers/Skywarden/Skywarden-005.json</x:v>
      </x:c>
      <x:c r="Q319" s="25" t="str">
        <x:v>https://raw.githubusercontent.com/hemisemidemipresent/cyberquincy/master/jsons/costs.json</x:v>
      </x:c>
      <x:c r="R319" s="25" t="str">
        <x:v>https://raw.githubusercontent.com/Btd6ModHelper/btd6-game-data/main/textTable.json</x:v>
      </x:c>
      <x:c r="S319" s="25"/>
      <x:c r="T319" s="25"/>
    </x:row>
    <x:row r="320" ht="64" customHeight="1">
      <x:c r="A320" s="25" t="str">
        <x:v>Banana Farm</x:v>
      </x:c>
      <x:c r="B320" s="80" t="str">
        <x:v>100</x:v>
      </x:c>
      <x:c r="C320" s="25" t="str">
        <x:v>top</x:v>
      </x:c>
      <x:c r="D320" s="25" t="n">
        <x:v>1</x:v>
      </x:c>
      <x:c r="E320" s="25" t="str">
        <x:v>Increased Production</x:v>
      </x:c>
      <x:c r="F320" s="30" t="n">
        <x:v>500</x:v>
      </x:c>
      <x:c r="G320" s="30" t="n">
        <x:f>IF(F320="","",FLOOR(INT(F320*'Price rules'!$B$5),'Price rules'!$B$9)+IF(MOD(INT(F320*'Price rules'!$B$5),'Price rules'!$B$9)&lt;'Price rules'!$B$10,0,'Price rules'!$B$9))</x:f>
        <x:v>425</x:v>
      </x:c>
      <x:c r="H320" s="30" t="n">
        <x:f>IF(F320="","",FLOOR(INT(F320*'Price rules'!$B$7),'Price rules'!$B$9)+IF(MOD(INT(F320*'Price rules'!$B$7),'Price rules'!$B$9)&lt;'Price rules'!$B$10,0,'Price rules'!$B$9))</x:f>
        <x:v>540</x:v>
      </x:c>
      <x:c r="I320" s="30" t="n">
        <x:f>IF(F320="","",FLOOR(INT(F320*'Price rules'!$B$8),'Price rules'!$B$9)+IF(MOD(INT(F320*'Price rules'!$B$8),'Price rules'!$B$9)&lt;'Price rules'!$B$10,0,'Price rules'!$B$9))</x:f>
        <x:v>600</x:v>
      </x:c>
      <x:c r="J320" s="30" t="n">
        <x:f>IF(N320="conditional","",SUMIFS($F$5:$F$394,$A$5:$A$394,A320,$C$5:$C$394,C320,$D$5:$D$394,"&lt;="&amp;D320)+SUMIF(Towers!$A$5:$A$30,A320,Towers!$E$5:$E$30))</x:f>
        <x:v>1750</x:v>
      </x:c>
      <x:c r="K320" s="30"/>
      <x:c r="L320" s="25" t="str">
        <x:v>economy</x:v>
      </x:c>
      <x:c r="M320" s="25" t="str">
        <x:v>Produces two additional banana bunches per round.</x:v>
      </x:c>
      <x:c r="N320" s="25" t="str">
        <x:v>fixed_upgrade_price</x:v>
      </x:c>
      <x:c r="O320" s="30" t="n">
        <x:v>500</x:v>
      </x:c>
      <x:c r="P320" s="25" t="str">
        <x:v>https://raw.githubusercontent.com/Btd6ModHelper/btd6-game-data/main/Towers/BananaFarm/BananaFarm-100.json</x:v>
      </x:c>
      <x:c r="Q320" s="25" t="str">
        <x:v>https://raw.githubusercontent.com/hemisemidemipresent/cyberquincy/master/jsons/costs.json</x:v>
      </x:c>
      <x:c r="R320" s="25" t="str">
        <x:v>https://raw.githubusercontent.com/Btd6ModHelper/btd6-game-data/main/textTable.json</x:v>
      </x:c>
      <x:c r="S320" s="25"/>
      <x:c r="T320" s="25"/>
    </x:row>
    <x:row r="321" ht="64" customHeight="1">
      <x:c r="A321" s="25" t="str">
        <x:v>Banana Farm</x:v>
      </x:c>
      <x:c r="B321" s="80" t="str">
        <x:v>200</x:v>
      </x:c>
      <x:c r="C321" s="25" t="str">
        <x:v>top</x:v>
      </x:c>
      <x:c r="D321" s="25" t="n">
        <x:v>2</x:v>
      </x:c>
      <x:c r="E321" s="25" t="str">
        <x:v>Greater Production</x:v>
      </x:c>
      <x:c r="F321" s="30" t="n">
        <x:v>600</x:v>
      </x:c>
      <x:c r="G321" s="30" t="n">
        <x:f>IF(F321="","",FLOOR(INT(F321*'Price rules'!$B$5),'Price rules'!$B$9)+IF(MOD(INT(F321*'Price rules'!$B$5),'Price rules'!$B$9)&lt;'Price rules'!$B$10,0,'Price rules'!$B$9))</x:f>
        <x:v>510</x:v>
      </x:c>
      <x:c r="H321" s="30" t="n">
        <x:f>IF(F321="","",FLOOR(INT(F321*'Price rules'!$B$7),'Price rules'!$B$9)+IF(MOD(INT(F321*'Price rules'!$B$7),'Price rules'!$B$9)&lt;'Price rules'!$B$10,0,'Price rules'!$B$9))</x:f>
        <x:v>650</x:v>
      </x:c>
      <x:c r="I321" s="30" t="n">
        <x:f>IF(F321="","",FLOOR(INT(F321*'Price rules'!$B$8),'Price rules'!$B$9)+IF(MOD(INT(F321*'Price rules'!$B$8),'Price rules'!$B$9)&lt;'Price rules'!$B$10,0,'Price rules'!$B$9))</x:f>
        <x:v>720</x:v>
      </x:c>
      <x:c r="J321" s="30" t="n">
        <x:f>IF(N321="conditional","",SUMIFS($F$5:$F$394,$A$5:$A$394,A321,$C$5:$C$394,C321,$D$5:$D$394,"&lt;="&amp;D321)+SUMIF(Towers!$A$5:$A$30,A321,Towers!$E$5:$E$30))</x:f>
        <x:v>2350</x:v>
      </x:c>
      <x:c r="K321" s="30"/>
      <x:c r="L321" s="25" t="str">
        <x:v>economy</x:v>
      </x:c>
      <x:c r="M321" s="25" t="str">
        <x:v>Produces another two banana bunches per round.</x:v>
      </x:c>
      <x:c r="N321" s="25" t="str">
        <x:v>fixed_upgrade_price</x:v>
      </x:c>
      <x:c r="O321" s="30" t="n">
        <x:v>600</x:v>
      </x:c>
      <x:c r="P321" s="25" t="str">
        <x:v>https://raw.githubusercontent.com/Btd6ModHelper/btd6-game-data/main/Towers/BananaFarm/BananaFarm-200.json</x:v>
      </x:c>
      <x:c r="Q321" s="25" t="str">
        <x:v>https://raw.githubusercontent.com/hemisemidemipresent/cyberquincy/master/jsons/costs.json</x:v>
      </x:c>
      <x:c r="R321" s="25" t="str">
        <x:v>https://raw.githubusercontent.com/Btd6ModHelper/btd6-game-data/main/textTable.json</x:v>
      </x:c>
      <x:c r="S321" s="25"/>
      <x:c r="T321" s="25"/>
    </x:row>
    <x:row r="322" ht="64" customHeight="1">
      <x:c r="A322" s="25" t="str">
        <x:v>Banana Farm</x:v>
      </x:c>
      <x:c r="B322" s="80" t="str">
        <x:v>300</x:v>
      </x:c>
      <x:c r="C322" s="25" t="str">
        <x:v>top</x:v>
      </x:c>
      <x:c r="D322" s="25" t="n">
        <x:v>3</x:v>
      </x:c>
      <x:c r="E322" s="25" t="str">
        <x:v>Banana Plantation</x:v>
      </x:c>
      <x:c r="F322" s="30" t="n">
        <x:v>3000</x:v>
      </x:c>
      <x:c r="G322" s="30" t="n">
        <x:f>IF(F322="","",FLOOR(INT(F322*'Price rules'!$B$5),'Price rules'!$B$9)+IF(MOD(INT(F322*'Price rules'!$B$5),'Price rules'!$B$9)&lt;'Price rules'!$B$10,0,'Price rules'!$B$9))</x:f>
        <x:v>2550</x:v>
      </x:c>
      <x:c r="H322" s="30" t="n">
        <x:f>IF(F322="","",FLOOR(INT(F322*'Price rules'!$B$7),'Price rules'!$B$9)+IF(MOD(INT(F322*'Price rules'!$B$7),'Price rules'!$B$9)&lt;'Price rules'!$B$10,0,'Price rules'!$B$9))</x:f>
        <x:v>3240</x:v>
      </x:c>
      <x:c r="I322" s="30" t="n">
        <x:f>IF(F322="","",FLOOR(INT(F322*'Price rules'!$B$8),'Price rules'!$B$9)+IF(MOD(INT(F322*'Price rules'!$B$8),'Price rules'!$B$9)&lt;'Price rules'!$B$10,0,'Price rules'!$B$9))</x:f>
        <x:v>3600</x:v>
      </x:c>
      <x:c r="J322" s="30" t="n">
        <x:f>IF(N322="conditional","",SUMIFS($F$5:$F$394,$A$5:$A$394,A322,$C$5:$C$394,C322,$D$5:$D$394,"&lt;="&amp;D322)+SUMIF(Towers!$A$5:$A$30,A322,Towers!$E$5:$E$30))</x:f>
        <x:v>5350</x:v>
      </x:c>
      <x:c r="K322" s="30"/>
      <x:c r="L322" s="25" t="str">
        <x:v>economy</x:v>
      </x:c>
      <x:c r="M322" s="25" t="str">
        <x:v>Raises production to sixteen banana bunches per round.</x:v>
      </x:c>
      <x:c r="N322" s="25" t="str">
        <x:v>fixed_upgrade_price</x:v>
      </x:c>
      <x:c r="O322" s="30" t="n">
        <x:v>3000</x:v>
      </x:c>
      <x:c r="P322" s="25" t="str">
        <x:v>https://raw.githubusercontent.com/Btd6ModHelper/btd6-game-data/main/Towers/BananaFarm/BananaFarm-300.json</x:v>
      </x:c>
      <x:c r="Q322" s="25" t="str">
        <x:v>https://raw.githubusercontent.com/hemisemidemipresent/cyberquincy/master/jsons/costs.json</x:v>
      </x:c>
      <x:c r="R322" s="25" t="str">
        <x:v>https://raw.githubusercontent.com/Btd6ModHelper/btd6-game-data/main/textTable.json</x:v>
      </x:c>
      <x:c r="S322" s="25"/>
      <x:c r="T322" s="25"/>
    </x:row>
    <x:row r="323" ht="64" customHeight="1">
      <x:c r="A323" s="25" t="str">
        <x:v>Banana Farm</x:v>
      </x:c>
      <x:c r="B323" s="80" t="str">
        <x:v>400</x:v>
      </x:c>
      <x:c r="C323" s="25" t="str">
        <x:v>top</x:v>
      </x:c>
      <x:c r="D323" s="25" t="n">
        <x:v>4</x:v>
      </x:c>
      <x:c r="E323" s="25" t="str">
        <x:v>Banana Research Facility</x:v>
      </x:c>
      <x:c r="F323" s="30" t="n">
        <x:v>19000</x:v>
      </x:c>
      <x:c r="G323" s="30" t="n">
        <x:f>IF(F323="","",FLOOR(INT(F323*'Price rules'!$B$5),'Price rules'!$B$9)+IF(MOD(INT(F323*'Price rules'!$B$5),'Price rules'!$B$9)&lt;'Price rules'!$B$10,0,'Price rules'!$B$9))</x:f>
        <x:v>16150</x:v>
      </x:c>
      <x:c r="H323" s="30" t="n">
        <x:f>IF(F323="","",FLOOR(INT(F323*'Price rules'!$B$7),'Price rules'!$B$9)+IF(MOD(INT(F323*'Price rules'!$B$7),'Price rules'!$B$9)&lt;'Price rules'!$B$10,0,'Price rules'!$B$9))</x:f>
        <x:v>20520</x:v>
      </x:c>
      <x:c r="I323" s="30" t="n">
        <x:f>IF(F323="","",FLOOR(INT(F323*'Price rules'!$B$8),'Price rules'!$B$9)+IF(MOD(INT(F323*'Price rules'!$B$8),'Price rules'!$B$9)&lt;'Price rules'!$B$10,0,'Price rules'!$B$9))</x:f>
        <x:v>22800</x:v>
      </x:c>
      <x:c r="J323" s="30" t="n">
        <x:f>IF(N323="conditional","",SUMIFS($F$5:$F$394,$A$5:$A$394,A323,$C$5:$C$394,C323,$D$5:$D$394,"&lt;="&amp;D323)+SUMIF(Towers!$A$5:$A$30,A323,Towers!$E$5:$E$30))</x:f>
        <x:v>24350</x:v>
      </x:c>
      <x:c r="K323" s="30"/>
      <x:c r="L323" s="25" t="str">
        <x:v>economy</x:v>
      </x:c>
      <x:c r="M323" s="25" t="str">
        <x:v>Produces five higher-value banana crates per round.</x:v>
      </x:c>
      <x:c r="N323" s="25" t="str">
        <x:v>fixed_upgrade_price</x:v>
      </x:c>
      <x:c r="O323" s="30" t="n">
        <x:v>19000</x:v>
      </x:c>
      <x:c r="P323" s="25" t="str">
        <x:v>https://raw.githubusercontent.com/Btd6ModHelper/btd6-game-data/main/Towers/BananaFarm/BananaFarm-400.json</x:v>
      </x:c>
      <x:c r="Q323" s="25" t="str">
        <x:v>https://raw.githubusercontent.com/hemisemidemipresent/cyberquincy/master/jsons/costs.json</x:v>
      </x:c>
      <x:c r="R323" s="25" t="str">
        <x:v>https://raw.githubusercontent.com/Btd6ModHelper/btd6-game-data/main/textTable.json</x:v>
      </x:c>
      <x:c r="S323" s="25"/>
      <x:c r="T323" s="25"/>
    </x:row>
    <x:row r="324" ht="64" customHeight="1">
      <x:c r="A324" s="25" t="str">
        <x:v>Banana Farm</x:v>
      </x:c>
      <x:c r="B324" s="80" t="str">
        <x:v>500</x:v>
      </x:c>
      <x:c r="C324" s="25" t="str">
        <x:v>top</x:v>
      </x:c>
      <x:c r="D324" s="25" t="n">
        <x:v>5</x:v>
      </x:c>
      <x:c r="E324" s="25" t="str">
        <x:v>Banana Central</x:v>
      </x:c>
      <x:c r="F324" s="30" t="n">
        <x:v>115000</x:v>
      </x:c>
      <x:c r="G324" s="30" t="n">
        <x:f>IF(F324="","",FLOOR(INT(F324*'Price rules'!$B$5),'Price rules'!$B$9)+IF(MOD(INT(F324*'Price rules'!$B$5),'Price rules'!$B$9)&lt;'Price rules'!$B$10,0,'Price rules'!$B$9))</x:f>
        <x:v>97750</x:v>
      </x:c>
      <x:c r="H324" s="30" t="n">
        <x:f>IF(F324="","",FLOOR(INT(F324*'Price rules'!$B$7),'Price rules'!$B$9)+IF(MOD(INT(F324*'Price rules'!$B$7),'Price rules'!$B$9)&lt;'Price rules'!$B$10,0,'Price rules'!$B$9))</x:f>
        <x:v>124200</x:v>
      </x:c>
      <x:c r="I324" s="30" t="n">
        <x:f>IF(F324="","",FLOOR(INT(F324*'Price rules'!$B$8),'Price rules'!$B$9)+IF(MOD(INT(F324*'Price rules'!$B$8),'Price rules'!$B$9)&lt;'Price rules'!$B$10,0,'Price rules'!$B$9))</x:f>
        <x:v>138000</x:v>
      </x:c>
      <x:c r="J324" s="30" t="n">
        <x:f>IF(N324="conditional","",SUMIFS($F$5:$F$394,$A$5:$A$394,A324,$C$5:$C$394,C324,$D$5:$D$394,"&lt;="&amp;D324)+SUMIF(Towers!$A$5:$A$30,A324,Towers!$E$5:$E$30))</x:f>
        <x:v>139350</x:v>
      </x:c>
      <x:c r="K324" s="30"/>
      <x:c r="L324" s="25" t="str">
        <x:v>economy</x:v>
      </x:c>
      <x:c r="M324" s="25" t="str">
        <x:v>Greatly increases its own income and improves Banana Research Facilities.</x:v>
      </x:c>
      <x:c r="N324" s="25" t="str">
        <x:v>fixed_upgrade_price</x:v>
      </x:c>
      <x:c r="O324" s="30" t="n">
        <x:v>115000</x:v>
      </x:c>
      <x:c r="P324" s="25" t="str">
        <x:v>https://raw.githubusercontent.com/Btd6ModHelper/btd6-game-data/main/Towers/BananaFarm/BananaFarm-500.json</x:v>
      </x:c>
      <x:c r="Q324" s="25" t="str">
        <x:v>https://raw.githubusercontent.com/hemisemidemipresent/cyberquincy/master/jsons/costs.json</x:v>
      </x:c>
      <x:c r="R324" s="25" t="str">
        <x:v>https://raw.githubusercontent.com/Btd6ModHelper/btd6-game-data/main/textTable.json</x:v>
      </x:c>
      <x:c r="S324" s="25"/>
      <x:c r="T324" s="25"/>
    </x:row>
    <x:row r="325" ht="64" customHeight="1">
      <x:c r="A325" s="25" t="str">
        <x:v>Banana Farm</x:v>
      </x:c>
      <x:c r="B325" s="80" t="str">
        <x:v>010</x:v>
      </x:c>
      <x:c r="C325" s="25" t="str">
        <x:v>middle</x:v>
      </x:c>
      <x:c r="D325" s="25" t="n">
        <x:v>1</x:v>
      </x:c>
      <x:c r="E325" s="25" t="str">
        <x:v>Long Life Bananas</x:v>
      </x:c>
      <x:c r="F325" s="30" t="n">
        <x:v>300</x:v>
      </x:c>
      <x:c r="G325" s="30" t="n">
        <x:f>IF(F325="","",FLOOR(INT(F325*'Price rules'!$B$5),'Price rules'!$B$9)+IF(MOD(INT(F325*'Price rules'!$B$5),'Price rules'!$B$9)&lt;'Price rules'!$B$10,0,'Price rules'!$B$9))</x:f>
        <x:v>255</x:v>
      </x:c>
      <x:c r="H325" s="30" t="n">
        <x:f>IF(F325="","",FLOOR(INT(F325*'Price rules'!$B$7),'Price rules'!$B$9)+IF(MOD(INT(F325*'Price rules'!$B$7),'Price rules'!$B$9)&lt;'Price rules'!$B$10,0,'Price rules'!$B$9))</x:f>
        <x:v>325</x:v>
      </x:c>
      <x:c r="I325" s="30" t="n">
        <x:f>IF(F325="","",FLOOR(INT(F325*'Price rules'!$B$8),'Price rules'!$B$9)+IF(MOD(INT(F325*'Price rules'!$B$8),'Price rules'!$B$9)&lt;'Price rules'!$B$10,0,'Price rules'!$B$9))</x:f>
        <x:v>360</x:v>
      </x:c>
      <x:c r="J325" s="30" t="n">
        <x:f>IF(N325="conditional","",SUMIFS($F$5:$F$394,$A$5:$A$394,A325,$C$5:$C$394,C325,$D$5:$D$394,"&lt;="&amp;D325)+SUMIF(Towers!$A$5:$A$30,A325,Towers!$E$5:$E$30))</x:f>
        <x:v>1550</x:v>
      </x:c>
      <x:c r="K325" s="30"/>
      <x:c r="L325" s="25" t="str">
        <x:v>economy</x:v>
      </x:c>
      <x:c r="M325" s="25" t="str">
        <x:v>Increases the time available to collect bananas.</x:v>
      </x:c>
      <x:c r="N325" s="25" t="str">
        <x:v>fixed_upgrade_price</x:v>
      </x:c>
      <x:c r="O325" s="30" t="n">
        <x:v>300</x:v>
      </x:c>
      <x:c r="P325" s="25" t="str">
        <x:v>https://raw.githubusercontent.com/Btd6ModHelper/btd6-game-data/main/Towers/BananaFarm/BananaFarm-010.json</x:v>
      </x:c>
      <x:c r="Q325" s="25" t="str">
        <x:v>https://raw.githubusercontent.com/hemisemidemipresent/cyberquincy/master/jsons/costs.json</x:v>
      </x:c>
      <x:c r="R325" s="25" t="str">
        <x:v>https://raw.githubusercontent.com/Btd6ModHelper/btd6-game-data/main/textTable.json</x:v>
      </x:c>
      <x:c r="S325" s="25"/>
      <x:c r="T325" s="25"/>
    </x:row>
    <x:row r="326" ht="64" customHeight="1">
      <x:c r="A326" s="25" t="str">
        <x:v>Banana Farm</x:v>
      </x:c>
      <x:c r="B326" s="80" t="str">
        <x:v>020</x:v>
      </x:c>
      <x:c r="C326" s="25" t="str">
        <x:v>middle</x:v>
      </x:c>
      <x:c r="D326" s="25" t="n">
        <x:v>2</x:v>
      </x:c>
      <x:c r="E326" s="25" t="str">
        <x:v>Valuable Bananas</x:v>
      </x:c>
      <x:c r="F326" s="30" t="n">
        <x:v>800</x:v>
      </x:c>
      <x:c r="G326" s="30" t="n">
        <x:f>IF(F326="","",FLOOR(INT(F326*'Price rules'!$B$5),'Price rules'!$B$9)+IF(MOD(INT(F326*'Price rules'!$B$5),'Price rules'!$B$9)&lt;'Price rules'!$B$10,0,'Price rules'!$B$9))</x:f>
        <x:v>680</x:v>
      </x:c>
      <x:c r="H326" s="30" t="n">
        <x:f>IF(F326="","",FLOOR(INT(F326*'Price rules'!$B$7),'Price rules'!$B$9)+IF(MOD(INT(F326*'Price rules'!$B$7),'Price rules'!$B$9)&lt;'Price rules'!$B$10,0,'Price rules'!$B$9))</x:f>
        <x:v>865</x:v>
      </x:c>
      <x:c r="I326" s="30" t="n">
        <x:f>IF(F326="","",FLOOR(INT(F326*'Price rules'!$B$8),'Price rules'!$B$9)+IF(MOD(INT(F326*'Price rules'!$B$8),'Price rules'!$B$9)&lt;'Price rules'!$B$10,0,'Price rules'!$B$9))</x:f>
        <x:v>960</x:v>
      </x:c>
      <x:c r="J326" s="30" t="n">
        <x:f>IF(N326="conditional","",SUMIFS($F$5:$F$394,$A$5:$A$394,A326,$C$5:$C$394,C326,$D$5:$D$394,"&lt;="&amp;D326)+SUMIF(Towers!$A$5:$A$30,A326,Towers!$E$5:$E$30))</x:f>
        <x:v>2350</x:v>
      </x:c>
      <x:c r="K326" s="30"/>
      <x:c r="L326" s="25" t="str">
        <x:v>economy</x:v>
      </x:c>
      <x:c r="M326" s="25" t="str">
        <x:v>Raises the cash value of produced bananas.</x:v>
      </x:c>
      <x:c r="N326" s="25" t="str">
        <x:v>fixed_upgrade_price</x:v>
      </x:c>
      <x:c r="O326" s="30" t="n">
        <x:v>800</x:v>
      </x:c>
      <x:c r="P326" s="25" t="str">
        <x:v>https://raw.githubusercontent.com/Btd6ModHelper/btd6-game-data/main/Towers/BananaFarm/BananaFarm-020.json</x:v>
      </x:c>
      <x:c r="Q326" s="25" t="str">
        <x:v>https://raw.githubusercontent.com/hemisemidemipresent/cyberquincy/master/jsons/costs.json</x:v>
      </x:c>
      <x:c r="R326" s="25" t="str">
        <x:v>https://raw.githubusercontent.com/Btd6ModHelper/btd6-game-data/main/textTable.json</x:v>
      </x:c>
      <x:c r="S326" s="25"/>
      <x:c r="T326" s="25"/>
    </x:row>
    <x:row r="327" ht="64" customHeight="1">
      <x:c r="A327" s="25" t="str">
        <x:v>Banana Farm</x:v>
      </x:c>
      <x:c r="B327" s="80" t="str">
        <x:v>030</x:v>
      </x:c>
      <x:c r="C327" s="25" t="str">
        <x:v>middle</x:v>
      </x:c>
      <x:c r="D327" s="25" t="n">
        <x:v>3</x:v>
      </x:c>
      <x:c r="E327" s="25" t="str">
        <x:v>Monkey Bank</x:v>
      </x:c>
      <x:c r="F327" s="30" t="n">
        <x:v>3650</x:v>
      </x:c>
      <x:c r="G327" s="30" t="n">
        <x:f>IF(F327="","",FLOOR(INT(F327*'Price rules'!$B$5),'Price rules'!$B$9)+IF(MOD(INT(F327*'Price rules'!$B$5),'Price rules'!$B$9)&lt;'Price rules'!$B$10,0,'Price rules'!$B$9))</x:f>
        <x:v>3100</x:v>
      </x:c>
      <x:c r="H327" s="30" t="n">
        <x:f>IF(F327="","",FLOOR(INT(F327*'Price rules'!$B$7),'Price rules'!$B$9)+IF(MOD(INT(F327*'Price rules'!$B$7),'Price rules'!$B$9)&lt;'Price rules'!$B$10,0,'Price rules'!$B$9))</x:f>
        <x:v>3940</x:v>
      </x:c>
      <x:c r="I327" s="30" t="n">
        <x:f>IF(F327="","",FLOOR(INT(F327*'Price rules'!$B$8),'Price rules'!$B$9)+IF(MOD(INT(F327*'Price rules'!$B$8),'Price rules'!$B$9)&lt;'Price rules'!$B$10,0,'Price rules'!$B$9))</x:f>
        <x:v>4380</x:v>
      </x:c>
      <x:c r="J327" s="30" t="n">
        <x:f>IF(N327="conditional","",SUMIFS($F$5:$F$394,$A$5:$A$394,A327,$C$5:$C$394,C327,$D$5:$D$394,"&lt;="&amp;D327)+SUMIF(Towers!$A$5:$A$30,A327,Towers!$E$5:$E$30))</x:f>
        <x:v>6000</x:v>
      </x:c>
      <x:c r="K327" s="30"/>
      <x:c r="L327" s="25" t="str">
        <x:v>economy</x:v>
      </x:c>
      <x:c r="M327" s="25" t="str">
        <x:v>Stores income in a bank account and adds interest each round.</x:v>
      </x:c>
      <x:c r="N327" s="25" t="str">
        <x:v>fixed_upgrade_price</x:v>
      </x:c>
      <x:c r="O327" s="30" t="n">
        <x:v>3650</x:v>
      </x:c>
      <x:c r="P327" s="25" t="str">
        <x:v>https://raw.githubusercontent.com/Btd6ModHelper/btd6-game-data/main/Towers/BananaFarm/BananaFarm-030.json</x:v>
      </x:c>
      <x:c r="Q327" s="25" t="str">
        <x:v>https://raw.githubusercontent.com/hemisemidemipresent/cyberquincy/master/jsons/costs.json</x:v>
      </x:c>
      <x:c r="R327" s="25" t="str">
        <x:v>https://raw.githubusercontent.com/Btd6ModHelper/btd6-game-data/main/textTable.json</x:v>
      </x:c>
      <x:c r="S327" s="25"/>
      <x:c r="T327" s="25"/>
    </x:row>
    <x:row r="328" ht="64" customHeight="1">
      <x:c r="A328" s="25" t="str">
        <x:v>Banana Farm</x:v>
      </x:c>
      <x:c r="B328" s="80" t="str">
        <x:v>040</x:v>
      </x:c>
      <x:c r="C328" s="25" t="str">
        <x:v>middle</x:v>
      </x:c>
      <x:c r="D328" s="25" t="n">
        <x:v>4</x:v>
      </x:c>
      <x:c r="E328" s="25" t="str">
        <x:v>IMF Loan</x:v>
      </x:c>
      <x:c r="F328" s="30" t="n">
        <x:v>7200</x:v>
      </x:c>
      <x:c r="G328" s="30" t="n">
        <x:f>IF(F328="","",FLOOR(INT(F328*'Price rules'!$B$5),'Price rules'!$B$9)+IF(MOD(INT(F328*'Price rules'!$B$5),'Price rules'!$B$9)&lt;'Price rules'!$B$10,0,'Price rules'!$B$9))</x:f>
        <x:v>6120</x:v>
      </x:c>
      <x:c r="H328" s="30" t="n">
        <x:f>IF(F328="","",FLOOR(INT(F328*'Price rules'!$B$7),'Price rules'!$B$9)+IF(MOD(INT(F328*'Price rules'!$B$7),'Price rules'!$B$9)&lt;'Price rules'!$B$10,0,'Price rules'!$B$9))</x:f>
        <x:v>7775</x:v>
      </x:c>
      <x:c r="I328" s="30" t="n">
        <x:f>IF(F328="","",FLOOR(INT(F328*'Price rules'!$B$8),'Price rules'!$B$9)+IF(MOD(INT(F328*'Price rules'!$B$8),'Price rules'!$B$9)&lt;'Price rules'!$B$10,0,'Price rules'!$B$9))</x:f>
        <x:v>8640</x:v>
      </x:c>
      <x:c r="J328" s="30" t="n">
        <x:f>IF(N328="conditional","",SUMIFS($F$5:$F$394,$A$5:$A$394,A328,$C$5:$C$394,C328,$D$5:$D$394,"&lt;="&amp;D328)+SUMIF(Towers!$A$5:$A$30,A328,Towers!$E$5:$E$30))</x:f>
        <x:v>13200</x:v>
      </x:c>
      <x:c r="K328" s="30"/>
      <x:c r="L328" s="25" t="str">
        <x:v>economy</x:v>
      </x:c>
      <x:c r="M328" s="25" t="str">
        <x:v>Adds a cash-loan ability; part of later income repays the debt.</x:v>
      </x:c>
      <x:c r="N328" s="25" t="str">
        <x:v>fixed_upgrade_price</x:v>
      </x:c>
      <x:c r="O328" s="30" t="n">
        <x:v>7200</x:v>
      </x:c>
      <x:c r="P328" s="25" t="str">
        <x:v>https://raw.githubusercontent.com/Btd6ModHelper/btd6-game-data/main/Towers/BananaFarm/BananaFarm-040.json</x:v>
      </x:c>
      <x:c r="Q328" s="25" t="str">
        <x:v>https://raw.githubusercontent.com/hemisemidemipresent/cyberquincy/master/jsons/costs.json</x:v>
      </x:c>
      <x:c r="R328" s="25" t="str">
        <x:v>https://raw.githubusercontent.com/Btd6ModHelper/btd6-game-data/main/textTable.json</x:v>
      </x:c>
      <x:c r="S328" s="25"/>
      <x:c r="T328" s="25"/>
    </x:row>
    <x:row r="329" ht="64" customHeight="1">
      <x:c r="A329" s="25" t="str">
        <x:v>Banana Farm</x:v>
      </x:c>
      <x:c r="B329" s="80" t="str">
        <x:v>050</x:v>
      </x:c>
      <x:c r="C329" s="25" t="str">
        <x:v>middle</x:v>
      </x:c>
      <x:c r="D329" s="25" t="n">
        <x:v>5</x:v>
      </x:c>
      <x:c r="E329" s="25" t="str">
        <x:v>Monkey-Nomics</x:v>
      </x:c>
      <x:c r="F329" s="30" t="n">
        <x:v>100000</x:v>
      </x:c>
      <x:c r="G329" s="30" t="n">
        <x:f>IF(F329="","",FLOOR(INT(F329*'Price rules'!$B$5),'Price rules'!$B$9)+IF(MOD(INT(F329*'Price rules'!$B$5),'Price rules'!$B$9)&lt;'Price rules'!$B$10,0,'Price rules'!$B$9))</x:f>
        <x:v>85000</x:v>
      </x:c>
      <x:c r="H329" s="30" t="n">
        <x:f>IF(F329="","",FLOOR(INT(F329*'Price rules'!$B$7),'Price rules'!$B$9)+IF(MOD(INT(F329*'Price rules'!$B$7),'Price rules'!$B$9)&lt;'Price rules'!$B$10,0,'Price rules'!$B$9))</x:f>
        <x:v>108000</x:v>
      </x:c>
      <x:c r="I329" s="30" t="n">
        <x:f>IF(F329="","",FLOOR(INT(F329*'Price rules'!$B$8),'Price rules'!$B$9)+IF(MOD(INT(F329*'Price rules'!$B$8),'Price rules'!$B$9)&lt;'Price rules'!$B$10,0,'Price rules'!$B$9))</x:f>
        <x:v>120000</x:v>
      </x:c>
      <x:c r="J329" s="30" t="n">
        <x:f>IF(N329="conditional","",SUMIFS($F$5:$F$394,$A$5:$A$394,A329,$C$5:$C$394,C329,$D$5:$D$394,"&lt;="&amp;D329)+SUMIF(Towers!$A$5:$A$30,A329,Towers!$E$5:$E$30))</x:f>
        <x:v>113200</x:v>
      </x:c>
      <x:c r="K329" s="30"/>
      <x:c r="L329" s="25" t="str">
        <x:v>economy</x:v>
      </x:c>
      <x:c r="M329" s="25" t="str">
        <x:v>Adds a large cash ability without creating loan debt.</x:v>
      </x:c>
      <x:c r="N329" s="25" t="str">
        <x:v>fixed_upgrade_price</x:v>
      </x:c>
      <x:c r="O329" s="30" t="n">
        <x:v>100000</x:v>
      </x:c>
      <x:c r="P329" s="25" t="str">
        <x:v>https://raw.githubusercontent.com/Btd6ModHelper/btd6-game-data/main/Towers/BananaFarm/BananaFarm-050.json</x:v>
      </x:c>
      <x:c r="Q329" s="25" t="str">
        <x:v>https://raw.githubusercontent.com/hemisemidemipresent/cyberquincy/master/jsons/costs.json</x:v>
      </x:c>
      <x:c r="R329" s="25" t="str">
        <x:v>https://raw.githubusercontent.com/Btd6ModHelper/btd6-game-data/main/textTable.json</x:v>
      </x:c>
      <x:c r="S329" s="25"/>
      <x:c r="T329" s="25"/>
    </x:row>
    <x:row r="330" ht="64" customHeight="1">
      <x:c r="A330" s="25" t="str">
        <x:v>Banana Farm</x:v>
      </x:c>
      <x:c r="B330" s="80" t="str">
        <x:v>001</x:v>
      </x:c>
      <x:c r="C330" s="25" t="str">
        <x:v>bottom</x:v>
      </x:c>
      <x:c r="D330" s="25" t="n">
        <x:v>1</x:v>
      </x:c>
      <x:c r="E330" s="25" t="str">
        <x:v>EZ Collect</x:v>
      </x:c>
      <x:c r="F330" s="30" t="n">
        <x:v>250</x:v>
      </x:c>
      <x:c r="G330" s="30" t="n">
        <x:f>IF(F330="","",FLOOR(INT(F330*'Price rules'!$B$5),'Price rules'!$B$9)+IF(MOD(INT(F330*'Price rules'!$B$5),'Price rules'!$B$9)&lt;'Price rules'!$B$10,0,'Price rules'!$B$9))</x:f>
        <x:v>210</x:v>
      </x:c>
      <x:c r="H330" s="30" t="n">
        <x:f>IF(F330="","",FLOOR(INT(F330*'Price rules'!$B$7),'Price rules'!$B$9)+IF(MOD(INT(F330*'Price rules'!$B$7),'Price rules'!$B$9)&lt;'Price rules'!$B$10,0,'Price rules'!$B$9))</x:f>
        <x:v>270</x:v>
      </x:c>
      <x:c r="I330" s="30" t="n">
        <x:f>IF(F330="","",FLOOR(INT(F330*'Price rules'!$B$8),'Price rules'!$B$9)+IF(MOD(INT(F330*'Price rules'!$B$8),'Price rules'!$B$9)&lt;'Price rules'!$B$10,0,'Price rules'!$B$9))</x:f>
        <x:v>300</x:v>
      </x:c>
      <x:c r="J330" s="30" t="n">
        <x:f>IF(N330="conditional","",SUMIFS($F$5:$F$394,$A$5:$A$394,A330,$C$5:$C$394,C330,$D$5:$D$394,"&lt;="&amp;D330)+SUMIF(Towers!$A$5:$A$30,A330,Towers!$E$5:$E$30))</x:f>
        <x:v>1500</x:v>
      </x:c>
      <x:c r="K330" s="30"/>
      <x:c r="L330" s="25" t="str">
        <x:v>economy</x:v>
      </x:c>
      <x:c r="M330" s="25" t="str">
        <x:v>Increases banana collection range and automatically recovers some value from expired bananas.</x:v>
      </x:c>
      <x:c r="N330" s="25" t="str">
        <x:v>fixed_upgrade_price</x:v>
      </x:c>
      <x:c r="O330" s="30" t="n">
        <x:v>250</x:v>
      </x:c>
      <x:c r="P330" s="25" t="str">
        <x:v>https://raw.githubusercontent.com/Btd6ModHelper/btd6-game-data/main/Towers/BananaFarm/BananaFarm-001.json</x:v>
      </x:c>
      <x:c r="Q330" s="25" t="str">
        <x:v>https://raw.githubusercontent.com/hemisemidemipresent/cyberquincy/master/jsons/costs.json</x:v>
      </x:c>
      <x:c r="R330" s="25" t="str">
        <x:v>https://raw.githubusercontent.com/Btd6ModHelper/btd6-game-data/main/textTable.json</x:v>
      </x:c>
      <x:c r="S330" s="25"/>
      <x:c r="T330" s="25"/>
    </x:row>
    <x:row r="331" ht="64" customHeight="1">
      <x:c r="A331" s="25" t="str">
        <x:v>Banana Farm</x:v>
      </x:c>
      <x:c r="B331" s="80" t="str">
        <x:v>002</x:v>
      </x:c>
      <x:c r="C331" s="25" t="str">
        <x:v>bottom</x:v>
      </x:c>
      <x:c r="D331" s="25" t="n">
        <x:v>2</x:v>
      </x:c>
      <x:c r="E331" s="25" t="str">
        <x:v>Banana Salvage</x:v>
      </x:c>
      <x:c r="F331" s="30" t="n">
        <x:v>400</x:v>
      </x:c>
      <x:c r="G331" s="30" t="n">
        <x:f>IF(F331="","",FLOOR(INT(F331*'Price rules'!$B$5),'Price rules'!$B$9)+IF(MOD(INT(F331*'Price rules'!$B$5),'Price rules'!$B$9)&lt;'Price rules'!$B$10,0,'Price rules'!$B$9))</x:f>
        <x:v>340</x:v>
      </x:c>
      <x:c r="H331" s="30" t="n">
        <x:f>IF(F331="","",FLOOR(INT(F331*'Price rules'!$B$7),'Price rules'!$B$9)+IF(MOD(INT(F331*'Price rules'!$B$7),'Price rules'!$B$9)&lt;'Price rules'!$B$10,0,'Price rules'!$B$9))</x:f>
        <x:v>430</x:v>
      </x:c>
      <x:c r="I331" s="30" t="n">
        <x:f>IF(F331="","",FLOOR(INT(F331*'Price rules'!$B$8),'Price rules'!$B$9)+IF(MOD(INT(F331*'Price rules'!$B$8),'Price rules'!$B$9)&lt;'Price rules'!$B$10,0,'Price rules'!$B$9))</x:f>
        <x:v>480</x:v>
      </x:c>
      <x:c r="J331" s="30" t="n">
        <x:f>IF(N331="conditional","",SUMIFS($F$5:$F$394,$A$5:$A$394,A331,$C$5:$C$394,C331,$D$5:$D$394,"&lt;="&amp;D331)+SUMIF(Towers!$A$5:$A$30,A331,Towers!$E$5:$E$30))</x:f>
        <x:v>1900</x:v>
      </x:c>
      <x:c r="K331" s="30"/>
      <x:c r="L331" s="25" t="str">
        <x:v>economy</x:v>
      </x:c>
      <x:c r="M331" s="25" t="str">
        <x:v>Recovers more value from uncollected bananas and improves sellback behavior.</x:v>
      </x:c>
      <x:c r="N331" s="25" t="str">
        <x:v>fixed_upgrade_price</x:v>
      </x:c>
      <x:c r="O331" s="30" t="n">
        <x:v>400</x:v>
      </x:c>
      <x:c r="P331" s="25" t="str">
        <x:v>https://raw.githubusercontent.com/Btd6ModHelper/btd6-game-data/main/Towers/BananaFarm/BananaFarm-002.json</x:v>
      </x:c>
      <x:c r="Q331" s="25" t="str">
        <x:v>https://raw.githubusercontent.com/hemisemidemipresent/cyberquincy/master/jsons/costs.json</x:v>
      </x:c>
      <x:c r="R331" s="25" t="str">
        <x:v>https://raw.githubusercontent.com/Btd6ModHelper/btd6-game-data/main/textTable.json</x:v>
      </x:c>
      <x:c r="S331" s="25"/>
      <x:c r="T331" s="25"/>
    </x:row>
    <x:row r="332" ht="64" customHeight="1">
      <x:c r="A332" s="25" t="str">
        <x:v>Banana Farm</x:v>
      </x:c>
      <x:c r="B332" s="80" t="str">
        <x:v>003</x:v>
      </x:c>
      <x:c r="C332" s="25" t="str">
        <x:v>bottom</x:v>
      </x:c>
      <x:c r="D332" s="25" t="n">
        <x:v>3</x:v>
      </x:c>
      <x:c r="E332" s="25" t="str">
        <x:v>Marketplace</x:v>
      </x:c>
      <x:c r="F332" s="30" t="n">
        <x:v>2700</x:v>
      </x:c>
      <x:c r="G332" s="30" t="n">
        <x:f>IF(F332="","",FLOOR(INT(F332*'Price rules'!$B$5),'Price rules'!$B$9)+IF(MOD(INT(F332*'Price rules'!$B$5),'Price rules'!$B$9)&lt;'Price rules'!$B$10,0,'Price rules'!$B$9))</x:f>
        <x:v>2295</x:v>
      </x:c>
      <x:c r="H332" s="30" t="n">
        <x:f>IF(F332="","",FLOOR(INT(F332*'Price rules'!$B$7),'Price rules'!$B$9)+IF(MOD(INT(F332*'Price rules'!$B$7),'Price rules'!$B$9)&lt;'Price rules'!$B$10,0,'Price rules'!$B$9))</x:f>
        <x:v>2915</x:v>
      </x:c>
      <x:c r="I332" s="30" t="n">
        <x:f>IF(F332="","",FLOOR(INT(F332*'Price rules'!$B$8),'Price rules'!$B$9)+IF(MOD(INT(F332*'Price rules'!$B$8),'Price rules'!$B$9)&lt;'Price rules'!$B$10,0,'Price rules'!$B$9))</x:f>
        <x:v>3240</x:v>
      </x:c>
      <x:c r="J332" s="30" t="n">
        <x:f>IF(N332="conditional","",SUMIFS($F$5:$F$394,$A$5:$A$394,A332,$C$5:$C$394,C332,$D$5:$D$394,"&lt;="&amp;D332)+SUMIF(Towers!$A$5:$A$30,A332,Towers!$E$5:$E$30))</x:f>
        <x:v>4600</x:v>
      </x:c>
      <x:c r="K332" s="30"/>
      <x:c r="L332" s="25" t="str">
        <x:v>economy</x:v>
      </x:c>
      <x:c r="M332" s="25" t="str">
        <x:v>Produces cash automatically instead of collectible bananas.</x:v>
      </x:c>
      <x:c r="N332" s="25" t="str">
        <x:v>fixed_upgrade_price</x:v>
      </x:c>
      <x:c r="O332" s="30" t="n">
        <x:v>2700</x:v>
      </x:c>
      <x:c r="P332" s="25" t="str">
        <x:v>https://raw.githubusercontent.com/Btd6ModHelper/btd6-game-data/main/Towers/BananaFarm/BananaFarm-003.json</x:v>
      </x:c>
      <x:c r="Q332" s="25" t="str">
        <x:v>https://raw.githubusercontent.com/hemisemidemipresent/cyberquincy/master/jsons/costs.json</x:v>
      </x:c>
      <x:c r="R332" s="25" t="str">
        <x:v>https://raw.githubusercontent.com/Btd6ModHelper/btd6-game-data/main/textTable.json</x:v>
      </x:c>
      <x:c r="S332" s="25"/>
      <x:c r="T332" s="25"/>
    </x:row>
    <x:row r="333" ht="64" customHeight="1">
      <x:c r="A333" s="25" t="str">
        <x:v>Banana Farm</x:v>
      </x:c>
      <x:c r="B333" s="80" t="str">
        <x:v>004</x:v>
      </x:c>
      <x:c r="C333" s="25" t="str">
        <x:v>bottom</x:v>
      </x:c>
      <x:c r="D333" s="25" t="n">
        <x:v>4</x:v>
      </x:c>
      <x:c r="E333" s="25" t="str">
        <x:v>Central Market</x:v>
      </x:c>
      <x:c r="F333" s="30" t="n">
        <x:v>15000</x:v>
      </x:c>
      <x:c r="G333" s="30" t="n">
        <x:f>IF(F333="","",FLOOR(INT(F333*'Price rules'!$B$5),'Price rules'!$B$9)+IF(MOD(INT(F333*'Price rules'!$B$5),'Price rules'!$B$9)&lt;'Price rules'!$B$10,0,'Price rules'!$B$9))</x:f>
        <x:v>12750</x:v>
      </x:c>
      <x:c r="H333" s="30" t="n">
        <x:f>IF(F333="","",FLOOR(INT(F333*'Price rules'!$B$7),'Price rules'!$B$9)+IF(MOD(INT(F333*'Price rules'!$B$7),'Price rules'!$B$9)&lt;'Price rules'!$B$10,0,'Price rules'!$B$9))</x:f>
        <x:v>16200</x:v>
      </x:c>
      <x:c r="I333" s="30" t="n">
        <x:f>IF(F333="","",FLOOR(INT(F333*'Price rules'!$B$8),'Price rules'!$B$9)+IF(MOD(INT(F333*'Price rules'!$B$8),'Price rules'!$B$9)&lt;'Price rules'!$B$10,0,'Price rules'!$B$9))</x:f>
        <x:v>18000</x:v>
      </x:c>
      <x:c r="J333" s="30" t="n">
        <x:f>IF(N333="conditional","",SUMIFS($F$5:$F$394,$A$5:$A$394,A333,$C$5:$C$394,C333,$D$5:$D$394,"&lt;="&amp;D333)+SUMIF(Towers!$A$5:$A$30,A333,Towers!$E$5:$E$30))</x:f>
        <x:v>19600</x:v>
      </x:c>
      <x:c r="K333" s="30"/>
      <x:c r="L333" s="25" t="str">
        <x:v>economy</x:v>
      </x:c>
      <x:c r="M333" s="25" t="str">
        <x:v>Increases automatic income and improves Merchantman income.</x:v>
      </x:c>
      <x:c r="N333" s="25" t="str">
        <x:v>fixed_upgrade_price</x:v>
      </x:c>
      <x:c r="O333" s="30" t="n">
        <x:v>15000</x:v>
      </x:c>
      <x:c r="P333" s="25" t="str">
        <x:v>https://raw.githubusercontent.com/Btd6ModHelper/btd6-game-data/main/Towers/BananaFarm/BananaFarm-004.json</x:v>
      </x:c>
      <x:c r="Q333" s="25" t="str">
        <x:v>https://raw.githubusercontent.com/hemisemidemipresent/cyberquincy/master/jsons/costs.json</x:v>
      </x:c>
      <x:c r="R333" s="25" t="str">
        <x:v>https://raw.githubusercontent.com/Btd6ModHelper/btd6-game-data/main/textTable.json</x:v>
      </x:c>
      <x:c r="S333" s="25"/>
      <x:c r="T333" s="25"/>
    </x:row>
    <x:row r="334" ht="64" customHeight="1">
      <x:c r="A334" s="25" t="str">
        <x:v>Banana Farm</x:v>
      </x:c>
      <x:c r="B334" s="80" t="str">
        <x:v>005</x:v>
      </x:c>
      <x:c r="C334" s="25" t="str">
        <x:v>bottom</x:v>
      </x:c>
      <x:c r="D334" s="25" t="n">
        <x:v>5</x:v>
      </x:c>
      <x:c r="E334" s="25" t="str">
        <x:v>Monkey Wall Street</x:v>
      </x:c>
      <x:c r="F334" s="30" t="n">
        <x:v>70000</x:v>
      </x:c>
      <x:c r="G334" s="30" t="n">
        <x:f>IF(F334="","",FLOOR(INT(F334*'Price rules'!$B$5),'Price rules'!$B$9)+IF(MOD(INT(F334*'Price rules'!$B$5),'Price rules'!$B$9)&lt;'Price rules'!$B$10,0,'Price rules'!$B$9))</x:f>
        <x:v>59500</x:v>
      </x:c>
      <x:c r="H334" s="30" t="n">
        <x:f>IF(F334="","",FLOOR(INT(F334*'Price rules'!$B$7),'Price rules'!$B$9)+IF(MOD(INT(F334*'Price rules'!$B$7),'Price rules'!$B$9)&lt;'Price rules'!$B$10,0,'Price rules'!$B$9))</x:f>
        <x:v>75600</x:v>
      </x:c>
      <x:c r="I334" s="30" t="n">
        <x:f>IF(F334="","",FLOOR(INT(F334*'Price rules'!$B$8),'Price rules'!$B$9)+IF(MOD(INT(F334*'Price rules'!$B$8),'Price rules'!$B$9)&lt;'Price rules'!$B$10,0,'Price rules'!$B$9))</x:f>
        <x:v>84000</x:v>
      </x:c>
      <x:c r="J334" s="30" t="n">
        <x:f>IF(N334="conditional","",SUMIFS($F$5:$F$394,$A$5:$A$394,A334,$C$5:$C$394,C334,$D$5:$D$394,"&lt;="&amp;D334)+SUMIF(Towers!$A$5:$A$30,A334,Towers!$E$5:$E$30))</x:f>
        <x:v>89600</x:v>
      </x:c>
      <x:c r="K334" s="30"/>
      <x:c r="L334" s="25" t="str">
        <x:v>economy</x:v>
      </x:c>
      <x:c r="M334" s="25" t="str">
        <x:v>Adds more automatic income, lives, and collection of nearby bananas.</x:v>
      </x:c>
      <x:c r="N334" s="25" t="str">
        <x:v>fixed_upgrade_price</x:v>
      </x:c>
      <x:c r="O334" s="30" t="n">
        <x:v>70000</x:v>
      </x:c>
      <x:c r="P334" s="25" t="str">
        <x:v>https://raw.githubusercontent.com/Btd6ModHelper/btd6-game-data/main/Towers/BananaFarm/BananaFarm-005.json</x:v>
      </x:c>
      <x:c r="Q334" s="25" t="str">
        <x:v>https://raw.githubusercontent.com/hemisemidemipresent/cyberquincy/master/jsons/costs.json</x:v>
      </x:c>
      <x:c r="R334" s="25" t="str">
        <x:v>https://raw.githubusercontent.com/Btd6ModHelper/btd6-game-data/main/textTable.json</x:v>
      </x:c>
      <x:c r="S334" s="25"/>
      <x:c r="T334" s="25"/>
    </x:row>
    <x:row r="335" ht="64" customHeight="1">
      <x:c r="A335" s="25" t="str">
        <x:v>Spike Factory</x:v>
      </x:c>
      <x:c r="B335" s="80" t="str">
        <x:v>100</x:v>
      </x:c>
      <x:c r="C335" s="25" t="str">
        <x:v>top</x:v>
      </x:c>
      <x:c r="D335" s="25" t="n">
        <x:v>1</x:v>
      </x:c>
      <x:c r="E335" s="25" t="str">
        <x:v>Bigger Stacks</x:v>
      </x:c>
      <x:c r="F335" s="30" t="n">
        <x:v>800</x:v>
      </x:c>
      <x:c r="G335" s="30" t="n">
        <x:f>IF(F335="","",FLOOR(INT(F335*'Price rules'!$B$5),'Price rules'!$B$9)+IF(MOD(INT(F335*'Price rules'!$B$5),'Price rules'!$B$9)&lt;'Price rules'!$B$10,0,'Price rules'!$B$9))</x:f>
        <x:v>680</x:v>
      </x:c>
      <x:c r="H335" s="30" t="n">
        <x:f>IF(F335="","",FLOOR(INT(F335*'Price rules'!$B$7),'Price rules'!$B$9)+IF(MOD(INT(F335*'Price rules'!$B$7),'Price rules'!$B$9)&lt;'Price rules'!$B$10,0,'Price rules'!$B$9))</x:f>
        <x:v>865</x:v>
      </x:c>
      <x:c r="I335" s="30" t="n">
        <x:f>IF(F335="","",FLOOR(INT(F335*'Price rules'!$B$8),'Price rules'!$B$9)+IF(MOD(INT(F335*'Price rules'!$B$8),'Price rules'!$B$9)&lt;'Price rules'!$B$10,0,'Price rules'!$B$9))</x:f>
        <x:v>960</x:v>
      </x:c>
      <x:c r="J335" s="30" t="n">
        <x:f>IF(N335="conditional","",SUMIFS($F$5:$F$394,$A$5:$A$394,A335,$C$5:$C$394,C335,$D$5:$D$394,"&lt;="&amp;D335)+SUMIF(Towers!$A$5:$A$30,A335,Towers!$E$5:$E$30))</x:f>
        <x:v>1800</x:v>
      </x:c>
      <x:c r="K335" s="30"/>
      <x:c r="L335" s="25" t="str">
        <x:v>summoner</x:v>
      </x:c>
      <x:c r="M335" s="25" t="str">
        <x:v>Increases the number of hits available in each spike pile.</x:v>
      </x:c>
      <x:c r="N335" s="25" t="str">
        <x:v>fixed_upgrade_price</x:v>
      </x:c>
      <x:c r="O335" s="30" t="n">
        <x:v>800</x:v>
      </x:c>
      <x:c r="P335" s="25" t="str">
        <x:v>https://raw.githubusercontent.com/Btd6ModHelper/btd6-game-data/main/Towers/SpikeFactory/SpikeFactory-100.json</x:v>
      </x:c>
      <x:c r="Q335" s="25" t="str">
        <x:v>https://raw.githubusercontent.com/hemisemidemipresent/cyberquincy/master/jsons/costs.json</x:v>
      </x:c>
      <x:c r="R335" s="25" t="str">
        <x:v>https://raw.githubusercontent.com/Btd6ModHelper/btd6-game-data/main/textTable.json</x:v>
      </x:c>
      <x:c r="S335" s="25"/>
      <x:c r="T335" s="25"/>
    </x:row>
    <x:row r="336" ht="64" customHeight="1">
      <x:c r="A336" s="25" t="str">
        <x:v>Spike Factory</x:v>
      </x:c>
      <x:c r="B336" s="80" t="str">
        <x:v>200</x:v>
      </x:c>
      <x:c r="C336" s="25" t="str">
        <x:v>top</x:v>
      </x:c>
      <x:c r="D336" s="25" t="n">
        <x:v>2</x:v>
      </x:c>
      <x:c r="E336" s="25" t="str">
        <x:v>White Hot Spikes</x:v>
      </x:c>
      <x:c r="F336" s="30" t="n">
        <x:v>600</x:v>
      </x:c>
      <x:c r="G336" s="30" t="n">
        <x:f>IF(F336="","",FLOOR(INT(F336*'Price rules'!$B$5),'Price rules'!$B$9)+IF(MOD(INT(F336*'Price rules'!$B$5),'Price rules'!$B$9)&lt;'Price rules'!$B$10,0,'Price rules'!$B$9))</x:f>
        <x:v>510</x:v>
      </x:c>
      <x:c r="H336" s="30" t="n">
        <x:f>IF(F336="","",FLOOR(INT(F336*'Price rules'!$B$7),'Price rules'!$B$9)+IF(MOD(INT(F336*'Price rules'!$B$7),'Price rules'!$B$9)&lt;'Price rules'!$B$10,0,'Price rules'!$B$9))</x:f>
        <x:v>650</x:v>
      </x:c>
      <x:c r="I336" s="30" t="n">
        <x:f>IF(F336="","",FLOOR(INT(F336*'Price rules'!$B$8),'Price rules'!$B$9)+IF(MOD(INT(F336*'Price rules'!$B$8),'Price rules'!$B$9)&lt;'Price rules'!$B$10,0,'Price rules'!$B$9))</x:f>
        <x:v>720</x:v>
      </x:c>
      <x:c r="J336" s="30" t="n">
        <x:f>IF(N336="conditional","",SUMIFS($F$5:$F$394,$A$5:$A$394,A336,$C$5:$C$394,C336,$D$5:$D$394,"&lt;="&amp;D336)+SUMIF(Towers!$A$5:$A$30,A336,Towers!$E$5:$E$30))</x:f>
        <x:v>2400</x:v>
      </x:c>
      <x:c r="K336" s="30"/>
      <x:c r="L336" s="25" t="str">
        <x:v>summoner</x:v>
      </x:c>
      <x:c r="M336" s="25" t="str">
        <x:v>Allows spikes to damage Lead and Frozen targets.</x:v>
      </x:c>
      <x:c r="N336" s="25" t="str">
        <x:v>fixed_upgrade_price</x:v>
      </x:c>
      <x:c r="O336" s="30" t="n">
        <x:v>600</x:v>
      </x:c>
      <x:c r="P336" s="25" t="str">
        <x:v>https://raw.githubusercontent.com/Btd6ModHelper/btd6-game-data/main/Towers/SpikeFactory/SpikeFactory-200.json</x:v>
      </x:c>
      <x:c r="Q336" s="25" t="str">
        <x:v>https://raw.githubusercontent.com/hemisemidemipresent/cyberquincy/master/jsons/costs.json</x:v>
      </x:c>
      <x:c r="R336" s="25" t="str">
        <x:v>https://raw.githubusercontent.com/Btd6ModHelper/btd6-game-data/main/textTable.json</x:v>
      </x:c>
      <x:c r="S336" s="25"/>
      <x:c r="T336" s="25"/>
    </x:row>
    <x:row r="337" ht="64" customHeight="1">
      <x:c r="A337" s="25" t="str">
        <x:v>Spike Factory</x:v>
      </x:c>
      <x:c r="B337" s="80" t="str">
        <x:v>300</x:v>
      </x:c>
      <x:c r="C337" s="25" t="str">
        <x:v>top</x:v>
      </x:c>
      <x:c r="D337" s="25" t="n">
        <x:v>3</x:v>
      </x:c>
      <x:c r="E337" s="25" t="str">
        <x:v>Spiked Balls</x:v>
      </x:c>
      <x:c r="F337" s="30" t="n">
        <x:v>2300</x:v>
      </x:c>
      <x:c r="G337" s="30" t="n">
        <x:f>IF(F337="","",FLOOR(INT(F337*'Price rules'!$B$5),'Price rules'!$B$9)+IF(MOD(INT(F337*'Price rules'!$B$5),'Price rules'!$B$9)&lt;'Price rules'!$B$10,0,'Price rules'!$B$9))</x:f>
        <x:v>1955</x:v>
      </x:c>
      <x:c r="H337" s="30" t="n">
        <x:f>IF(F337="","",FLOOR(INT(F337*'Price rules'!$B$7),'Price rules'!$B$9)+IF(MOD(INT(F337*'Price rules'!$B$7),'Price rules'!$B$9)&lt;'Price rules'!$B$10,0,'Price rules'!$B$9))</x:f>
        <x:v>2485</x:v>
      </x:c>
      <x:c r="I337" s="30" t="n">
        <x:f>IF(F337="","",FLOOR(INT(F337*'Price rules'!$B$8),'Price rules'!$B$9)+IF(MOD(INT(F337*'Price rules'!$B$8),'Price rules'!$B$9)&lt;'Price rules'!$B$10,0,'Price rules'!$B$9))</x:f>
        <x:v>2760</x:v>
      </x:c>
      <x:c r="J337" s="30" t="n">
        <x:f>IF(N337="conditional","",SUMIFS($F$5:$F$394,$A$5:$A$394,A337,$C$5:$C$394,C337,$D$5:$D$394,"&lt;="&amp;D337)+SUMIF(Towers!$A$5:$A$30,A337,Towers!$E$5:$E$30))</x:f>
        <x:v>4700</x:v>
      </x:c>
      <x:c r="K337" s="30"/>
      <x:c r="L337" s="25" t="str">
        <x:v>basic_dps</x:v>
      </x:c>
      <x:c r="M337" s="25" t="str">
        <x:v>Produces spiked balls with bonus damage against Ceramic and Fortified targets.</x:v>
      </x:c>
      <x:c r="N337" s="25" t="str">
        <x:v>fixed_upgrade_price</x:v>
      </x:c>
      <x:c r="O337" s="30" t="n">
        <x:v>2300</x:v>
      </x:c>
      <x:c r="P337" s="25" t="str">
        <x:v>https://raw.githubusercontent.com/Btd6ModHelper/btd6-game-data/main/Towers/SpikeFactory/SpikeFactory-300.json</x:v>
      </x:c>
      <x:c r="Q337" s="25" t="str">
        <x:v>https://raw.githubusercontent.com/hemisemidemipresent/cyberquincy/master/jsons/costs.json</x:v>
      </x:c>
      <x:c r="R337" s="25" t="str">
        <x:v>https://raw.githubusercontent.com/Btd6ModHelper/btd6-game-data/main/textTable.json</x:v>
      </x:c>
      <x:c r="S337" s="25"/>
      <x:c r="T337" s="25"/>
    </x:row>
    <x:row r="338" ht="64" customHeight="1">
      <x:c r="A338" s="25" t="str">
        <x:v>Spike Factory</x:v>
      </x:c>
      <x:c r="B338" s="80" t="str">
        <x:v>400</x:v>
      </x:c>
      <x:c r="C338" s="25" t="str">
        <x:v>top</x:v>
      </x:c>
      <x:c r="D338" s="25" t="n">
        <x:v>4</x:v>
      </x:c>
      <x:c r="E338" s="25" t="str">
        <x:v>Spiked Mines</x:v>
      </x:c>
      <x:c r="F338" s="30" t="n">
        <x:v>9500</x:v>
      </x:c>
      <x:c r="G338" s="30" t="n">
        <x:f>IF(F338="","",FLOOR(INT(F338*'Price rules'!$B$5),'Price rules'!$B$9)+IF(MOD(INT(F338*'Price rules'!$B$5),'Price rules'!$B$9)&lt;'Price rules'!$B$10,0,'Price rules'!$B$9))</x:f>
        <x:v>8075</x:v>
      </x:c>
      <x:c r="H338" s="30" t="n">
        <x:f>IF(F338="","",FLOOR(INT(F338*'Price rules'!$B$7),'Price rules'!$B$9)+IF(MOD(INT(F338*'Price rules'!$B$7),'Price rules'!$B$9)&lt;'Price rules'!$B$10,0,'Price rules'!$B$9))</x:f>
        <x:v>10260</x:v>
      </x:c>
      <x:c r="I338" s="30" t="n">
        <x:f>IF(F338="","",FLOOR(INT(F338*'Price rules'!$B$8),'Price rules'!$B$9)+IF(MOD(INT(F338*'Price rules'!$B$8),'Price rules'!$B$9)&lt;'Price rules'!$B$10,0,'Price rules'!$B$9))</x:f>
        <x:v>11400</x:v>
      </x:c>
      <x:c r="J338" s="30" t="n">
        <x:f>IF(N338="conditional","",SUMIFS($F$5:$F$394,$A$5:$A$394,A338,$C$5:$C$394,C338,$D$5:$D$394,"&lt;="&amp;D338)+SUMIF(Towers!$A$5:$A$30,A338,Towers!$E$5:$E$30))</x:f>
        <x:v>14200</x:v>
      </x:c>
      <x:c r="K338" s="30"/>
      <x:c r="L338" s="25" t="str">
        <x:v>splash</x:v>
      </x:c>
      <x:c r="M338" s="25" t="str">
        <x:v>Adds an explosion when a mine is exhausted.</x:v>
      </x:c>
      <x:c r="N338" s="25" t="str">
        <x:v>fixed_upgrade_price</x:v>
      </x:c>
      <x:c r="O338" s="30" t="n">
        <x:v>9500</x:v>
      </x:c>
      <x:c r="P338" s="25" t="str">
        <x:v>https://raw.githubusercontent.com/Btd6ModHelper/btd6-game-data/main/Towers/SpikeFactory/SpikeFactory-400.json</x:v>
      </x:c>
      <x:c r="Q338" s="25" t="str">
        <x:v>https://raw.githubusercontent.com/hemisemidemipresent/cyberquincy/master/jsons/costs.json</x:v>
      </x:c>
      <x:c r="R338" s="25" t="str">
        <x:v>https://raw.githubusercontent.com/Btd6ModHelper/btd6-game-data/main/textTable.json</x:v>
      </x:c>
      <x:c r="S338" s="25"/>
      <x:c r="T338" s="25"/>
    </x:row>
    <x:row r="339" ht="64" customHeight="1">
      <x:c r="A339" s="25" t="str">
        <x:v>Spike Factory</x:v>
      </x:c>
      <x:c r="B339" s="80" t="str">
        <x:v>500</x:v>
      </x:c>
      <x:c r="C339" s="25" t="str">
        <x:v>top</x:v>
      </x:c>
      <x:c r="D339" s="25" t="n">
        <x:v>5</x:v>
      </x:c>
      <x:c r="E339" s="25" t="str">
        <x:v>Super Mines</x:v>
      </x:c>
      <x:c r="F339" s="30" t="n">
        <x:v>125000</x:v>
      </x:c>
      <x:c r="G339" s="30" t="n">
        <x:f>IF(F339="","",FLOOR(INT(F339*'Price rules'!$B$5),'Price rules'!$B$9)+IF(MOD(INT(F339*'Price rules'!$B$5),'Price rules'!$B$9)&lt;'Price rules'!$B$10,0,'Price rules'!$B$9))</x:f>
        <x:v>106250</x:v>
      </x:c>
      <x:c r="H339" s="30" t="n">
        <x:f>IF(F339="","",FLOOR(INT(F339*'Price rules'!$B$7),'Price rules'!$B$9)+IF(MOD(INT(F339*'Price rules'!$B$7),'Price rules'!$B$9)&lt;'Price rules'!$B$10,0,'Price rules'!$B$9))</x:f>
        <x:v>135000</x:v>
      </x:c>
      <x:c r="I339" s="30" t="n">
        <x:f>IF(F339="","",FLOOR(INT(F339*'Price rules'!$B$8),'Price rules'!$B$9)+IF(MOD(INT(F339*'Price rules'!$B$8),'Price rules'!$B$9)&lt;'Price rules'!$B$10,0,'Price rules'!$B$9))</x:f>
        <x:v>150000</x:v>
      </x:c>
      <x:c r="J339" s="30" t="n">
        <x:f>IF(N339="conditional","",SUMIFS($F$5:$F$394,$A$5:$A$394,A339,$C$5:$C$394,C339,$D$5:$D$394,"&lt;="&amp;D339)+SUMIF(Towers!$A$5:$A$30,A339,Towers!$E$5:$E$30))</x:f>
        <x:v>139200</x:v>
      </x:c>
      <x:c r="K339" s="30"/>
      <x:c r="L339" s="25" t="str">
        <x:v>splash</x:v>
      </x:c>
      <x:c r="M339" s="25" t="str">
        <x:v>Produces much stronger explosive mines.</x:v>
      </x:c>
      <x:c r="N339" s="25" t="str">
        <x:v>fixed_upgrade_price</x:v>
      </x:c>
      <x:c r="O339" s="30" t="n">
        <x:v>125000</x:v>
      </x:c>
      <x:c r="P339" s="25" t="str">
        <x:v>https://raw.githubusercontent.com/Btd6ModHelper/btd6-game-data/main/Towers/SpikeFactory/SpikeFactory-500.json</x:v>
      </x:c>
      <x:c r="Q339" s="25" t="str">
        <x:v>https://raw.githubusercontent.com/hemisemidemipresent/cyberquincy/master/jsons/costs.json</x:v>
      </x:c>
      <x:c r="R339" s="25" t="str">
        <x:v>https://raw.githubusercontent.com/Btd6ModHelper/btd6-game-data/main/textTable.json</x:v>
      </x:c>
      <x:c r="S339" s="25"/>
      <x:c r="T339" s="25"/>
    </x:row>
    <x:row r="340" ht="64" customHeight="1">
      <x:c r="A340" s="25" t="str">
        <x:v>Spike Factory</x:v>
      </x:c>
      <x:c r="B340" s="80" t="str">
        <x:v>010</x:v>
      </x:c>
      <x:c r="C340" s="25" t="str">
        <x:v>middle</x:v>
      </x:c>
      <x:c r="D340" s="25" t="n">
        <x:v>1</x:v>
      </x:c>
      <x:c r="E340" s="25" t="str">
        <x:v>Faster Production</x:v>
      </x:c>
      <x:c r="F340" s="30" t="n">
        <x:v>600</x:v>
      </x:c>
      <x:c r="G340" s="30" t="n">
        <x:f>IF(F340="","",FLOOR(INT(F340*'Price rules'!$B$5),'Price rules'!$B$9)+IF(MOD(INT(F340*'Price rules'!$B$5),'Price rules'!$B$9)&lt;'Price rules'!$B$10,0,'Price rules'!$B$9))</x:f>
        <x:v>510</x:v>
      </x:c>
      <x:c r="H340" s="30" t="n">
        <x:f>IF(F340="","",FLOOR(INT(F340*'Price rules'!$B$7),'Price rules'!$B$9)+IF(MOD(INT(F340*'Price rules'!$B$7),'Price rules'!$B$9)&lt;'Price rules'!$B$10,0,'Price rules'!$B$9))</x:f>
        <x:v>650</x:v>
      </x:c>
      <x:c r="I340" s="30" t="n">
        <x:f>IF(F340="","",FLOOR(INT(F340*'Price rules'!$B$8),'Price rules'!$B$9)+IF(MOD(INT(F340*'Price rules'!$B$8),'Price rules'!$B$9)&lt;'Price rules'!$B$10,0,'Price rules'!$B$9))</x:f>
        <x:v>720</x:v>
      </x:c>
      <x:c r="J340" s="30" t="n">
        <x:f>IF(N340="conditional","",SUMIFS($F$5:$F$394,$A$5:$A$394,A340,$C$5:$C$394,C340,$D$5:$D$394,"&lt;="&amp;D340)+SUMIF(Towers!$A$5:$A$30,A340,Towers!$E$5:$E$30))</x:f>
        <x:v>1600</x:v>
      </x:c>
      <x:c r="K340" s="30"/>
      <x:c r="L340" s="25" t="str">
        <x:v>summoner</x:v>
      </x:c>
      <x:c r="M340" s="25" t="str">
        <x:v>Reduces the interval between spike production.</x:v>
      </x:c>
      <x:c r="N340" s="25" t="str">
        <x:v>fixed_upgrade_price</x:v>
      </x:c>
      <x:c r="O340" s="30" t="n">
        <x:v>600</x:v>
      </x:c>
      <x:c r="P340" s="25" t="str">
        <x:v>https://raw.githubusercontent.com/Btd6ModHelper/btd6-game-data/main/Towers/SpikeFactory/SpikeFactory-010.json</x:v>
      </x:c>
      <x:c r="Q340" s="25" t="str">
        <x:v>https://raw.githubusercontent.com/hemisemidemipresent/cyberquincy/master/jsons/costs.json</x:v>
      </x:c>
      <x:c r="R340" s="25" t="str">
        <x:v>https://raw.githubusercontent.com/Btd6ModHelper/btd6-game-data/main/textTable.json</x:v>
      </x:c>
      <x:c r="S340" s="25"/>
      <x:c r="T340" s="25"/>
    </x:row>
    <x:row r="341" ht="64" customHeight="1">
      <x:c r="A341" s="25" t="str">
        <x:v>Spike Factory</x:v>
      </x:c>
      <x:c r="B341" s="80" t="str">
        <x:v>020</x:v>
      </x:c>
      <x:c r="C341" s="25" t="str">
        <x:v>middle</x:v>
      </x:c>
      <x:c r="D341" s="25" t="n">
        <x:v>2</x:v>
      </x:c>
      <x:c r="E341" s="25" t="str">
        <x:v>Even Faster Production</x:v>
      </x:c>
      <x:c r="F341" s="30" t="n">
        <x:v>800</x:v>
      </x:c>
      <x:c r="G341" s="30" t="n">
        <x:f>IF(F341="","",FLOOR(INT(F341*'Price rules'!$B$5),'Price rules'!$B$9)+IF(MOD(INT(F341*'Price rules'!$B$5),'Price rules'!$B$9)&lt;'Price rules'!$B$10,0,'Price rules'!$B$9))</x:f>
        <x:v>680</x:v>
      </x:c>
      <x:c r="H341" s="30" t="n">
        <x:f>IF(F341="","",FLOOR(INT(F341*'Price rules'!$B$7),'Price rules'!$B$9)+IF(MOD(INT(F341*'Price rules'!$B$7),'Price rules'!$B$9)&lt;'Price rules'!$B$10,0,'Price rules'!$B$9))</x:f>
        <x:v>865</x:v>
      </x:c>
      <x:c r="I341" s="30" t="n">
        <x:f>IF(F341="","",FLOOR(INT(F341*'Price rules'!$B$8),'Price rules'!$B$9)+IF(MOD(INT(F341*'Price rules'!$B$8),'Price rules'!$B$9)&lt;'Price rules'!$B$10,0,'Price rules'!$B$9))</x:f>
        <x:v>960</x:v>
      </x:c>
      <x:c r="J341" s="30" t="n">
        <x:f>IF(N341="conditional","",SUMIFS($F$5:$F$394,$A$5:$A$394,A341,$C$5:$C$394,C341,$D$5:$D$394,"&lt;="&amp;D341)+SUMIF(Towers!$A$5:$A$30,A341,Towers!$E$5:$E$30))</x:f>
        <x:v>2400</x:v>
      </x:c>
      <x:c r="K341" s="30"/>
      <x:c r="L341" s="25" t="str">
        <x:v>summoner</x:v>
      </x:c>
      <x:c r="M341" s="25" t="str">
        <x:v>Further increases production speed.</x:v>
      </x:c>
      <x:c r="N341" s="25" t="str">
        <x:v>fixed_upgrade_price</x:v>
      </x:c>
      <x:c r="O341" s="30" t="n">
        <x:v>800</x:v>
      </x:c>
      <x:c r="P341" s="25" t="str">
        <x:v>https://raw.githubusercontent.com/Btd6ModHelper/btd6-game-data/main/Towers/SpikeFactory/SpikeFactory-020.json</x:v>
      </x:c>
      <x:c r="Q341" s="25" t="str">
        <x:v>https://raw.githubusercontent.com/hemisemidemipresent/cyberquincy/master/jsons/costs.json</x:v>
      </x:c>
      <x:c r="R341" s="25" t="str">
        <x:v>https://raw.githubusercontent.com/Btd6ModHelper/btd6-game-data/main/textTable.json</x:v>
      </x:c>
      <x:c r="S341" s="25"/>
      <x:c r="T341" s="25"/>
    </x:row>
    <x:row r="342" ht="64" customHeight="1">
      <x:c r="A342" s="25" t="str">
        <x:v>Spike Factory</x:v>
      </x:c>
      <x:c r="B342" s="80" t="str">
        <x:v>030</x:v>
      </x:c>
      <x:c r="C342" s="25" t="str">
        <x:v>middle</x:v>
      </x:c>
      <x:c r="D342" s="25" t="n">
        <x:v>3</x:v>
      </x:c>
      <x:c r="E342" s="25" t="str">
        <x:v>MOAB SHREDR</x:v>
      </x:c>
      <x:c r="F342" s="30" t="n">
        <x:v>2500</x:v>
      </x:c>
      <x:c r="G342" s="30" t="n">
        <x:f>IF(F342="","",FLOOR(INT(F342*'Price rules'!$B$5),'Price rules'!$B$9)+IF(MOD(INT(F342*'Price rules'!$B$5),'Price rules'!$B$9)&lt;'Price rules'!$B$10,0,'Price rules'!$B$9))</x:f>
        <x:v>2125</x:v>
      </x:c>
      <x:c r="H342" s="30" t="n">
        <x:f>IF(F342="","",FLOOR(INT(F342*'Price rules'!$B$7),'Price rules'!$B$9)+IF(MOD(INT(F342*'Price rules'!$B$7),'Price rules'!$B$9)&lt;'Price rules'!$B$10,0,'Price rules'!$B$9))</x:f>
        <x:v>2700</x:v>
      </x:c>
      <x:c r="I342" s="30" t="n">
        <x:f>IF(F342="","",FLOOR(INT(F342*'Price rules'!$B$8),'Price rules'!$B$9)+IF(MOD(INT(F342*'Price rules'!$B$8),'Price rules'!$B$9)&lt;'Price rules'!$B$10,0,'Price rules'!$B$9))</x:f>
        <x:v>3000</x:v>
      </x:c>
      <x:c r="J342" s="30" t="n">
        <x:f>IF(N342="conditional","",SUMIFS($F$5:$F$394,$A$5:$A$394,A342,$C$5:$C$394,C342,$D$5:$D$394,"&lt;="&amp;D342)+SUMIF(Towers!$A$5:$A$30,A342,Towers!$E$5:$E$30))</x:f>
        <x:v>4900</x:v>
      </x:c>
      <x:c r="K342" s="30"/>
      <x:c r="L342" s="25" t="str">
        <x:v>tank_killer</x:v>
      </x:c>
      <x:c r="M342" s="25" t="str">
        <x:v>Adds bonus damage against MOAB-class targets.</x:v>
      </x:c>
      <x:c r="N342" s="25" t="str">
        <x:v>fixed_upgrade_price</x:v>
      </x:c>
      <x:c r="O342" s="30" t="n">
        <x:v>2500</x:v>
      </x:c>
      <x:c r="P342" s="25" t="str">
        <x:v>https://raw.githubusercontent.com/Btd6ModHelper/btd6-game-data/main/Towers/SpikeFactory/SpikeFactory-030.json</x:v>
      </x:c>
      <x:c r="Q342" s="25" t="str">
        <x:v>https://raw.githubusercontent.com/hemisemidemipresent/cyberquincy/master/jsons/costs.json</x:v>
      </x:c>
      <x:c r="R342" s="25" t="str">
        <x:v>https://raw.githubusercontent.com/Btd6ModHelper/btd6-game-data/main/textTable.json</x:v>
      </x:c>
      <x:c r="S342" s="25"/>
      <x:c r="T342" s="25"/>
    </x:row>
    <x:row r="343" ht="64" customHeight="1">
      <x:c r="A343" s="25" t="str">
        <x:v>Spike Factory</x:v>
      </x:c>
      <x:c r="B343" s="80" t="str">
        <x:v>040</x:v>
      </x:c>
      <x:c r="C343" s="25" t="str">
        <x:v>middle</x:v>
      </x:c>
      <x:c r="D343" s="25" t="n">
        <x:v>4</x:v>
      </x:c>
      <x:c r="E343" s="25" t="str">
        <x:v>Spike Storm</x:v>
      </x:c>
      <x:c r="F343" s="30" t="n">
        <x:v>7000</x:v>
      </x:c>
      <x:c r="G343" s="30" t="n">
        <x:f>IF(F343="","",FLOOR(INT(F343*'Price rules'!$B$5),'Price rules'!$B$9)+IF(MOD(INT(F343*'Price rules'!$B$5),'Price rules'!$B$9)&lt;'Price rules'!$B$10,0,'Price rules'!$B$9))</x:f>
        <x:v>5950</x:v>
      </x:c>
      <x:c r="H343" s="30" t="n">
        <x:f>IF(F343="","",FLOOR(INT(F343*'Price rules'!$B$7),'Price rules'!$B$9)+IF(MOD(INT(F343*'Price rules'!$B$7),'Price rules'!$B$9)&lt;'Price rules'!$B$10,0,'Price rules'!$B$9))</x:f>
        <x:v>7560</x:v>
      </x:c>
      <x:c r="I343" s="30" t="n">
        <x:f>IF(F343="","",FLOOR(INT(F343*'Price rules'!$B$8),'Price rules'!$B$9)+IF(MOD(INT(F343*'Price rules'!$B$8),'Price rules'!$B$9)&lt;'Price rules'!$B$10,0,'Price rules'!$B$9))</x:f>
        <x:v>8400</x:v>
      </x:c>
      <x:c r="J343" s="30" t="n">
        <x:f>IF(N343="conditional","",SUMIFS($F$5:$F$394,$A$5:$A$394,A343,$C$5:$C$394,C343,$D$5:$D$394,"&lt;="&amp;D343)+SUMIF(Towers!$A$5:$A$30,A343,Towers!$E$5:$E$30))</x:f>
        <x:v>11900</x:v>
      </x:c>
      <x:c r="K343" s="30"/>
      <x:c r="L343" s="25" t="str">
        <x:v>tank_killer</x:v>
      </x:c>
      <x:c r="M343" s="25" t="str">
        <x:v>Adds an activated spread of spikes across the track.</x:v>
      </x:c>
      <x:c r="N343" s="25" t="str">
        <x:v>fixed_upgrade_price</x:v>
      </x:c>
      <x:c r="O343" s="30" t="n">
        <x:v>7000</x:v>
      </x:c>
      <x:c r="P343" s="25" t="str">
        <x:v>https://raw.githubusercontent.com/Btd6ModHelper/btd6-game-data/main/Towers/SpikeFactory/SpikeFactory-040.json</x:v>
      </x:c>
      <x:c r="Q343" s="25" t="str">
        <x:v>https://raw.githubusercontent.com/hemisemidemipresent/cyberquincy/master/jsons/costs.json</x:v>
      </x:c>
      <x:c r="R343" s="25" t="str">
        <x:v>https://raw.githubusercontent.com/Btd6ModHelper/btd6-game-data/main/textTable.json</x:v>
      </x:c>
      <x:c r="S343" s="25"/>
      <x:c r="T343" s="25"/>
    </x:row>
    <x:row r="344" ht="64" customHeight="1">
      <x:c r="A344" s="25" t="str">
        <x:v>Spike Factory</x:v>
      </x:c>
      <x:c r="B344" s="80" t="str">
        <x:v>050</x:v>
      </x:c>
      <x:c r="C344" s="25" t="str">
        <x:v>middle</x:v>
      </x:c>
      <x:c r="D344" s="25" t="n">
        <x:v>5</x:v>
      </x:c>
      <x:c r="E344" s="25" t="str">
        <x:v>Carpet of Spikes</x:v>
      </x:c>
      <x:c r="F344" s="30" t="n">
        <x:v>41000</x:v>
      </x:c>
      <x:c r="G344" s="30" t="n">
        <x:f>IF(F344="","",FLOOR(INT(F344*'Price rules'!$B$5),'Price rules'!$B$9)+IF(MOD(INT(F344*'Price rules'!$B$5),'Price rules'!$B$9)&lt;'Price rules'!$B$10,0,'Price rules'!$B$9))</x:f>
        <x:v>34850</x:v>
      </x:c>
      <x:c r="H344" s="30" t="n">
        <x:f>IF(F344="","",FLOOR(INT(F344*'Price rules'!$B$7),'Price rules'!$B$9)+IF(MOD(INT(F344*'Price rules'!$B$7),'Price rules'!$B$9)&lt;'Price rules'!$B$10,0,'Price rules'!$B$9))</x:f>
        <x:v>44280</x:v>
      </x:c>
      <x:c r="I344" s="30" t="n">
        <x:f>IF(F344="","",FLOOR(INT(F344*'Price rules'!$B$8),'Price rules'!$B$9)+IF(MOD(INT(F344*'Price rules'!$B$8),'Price rules'!$B$9)&lt;'Price rules'!$B$10,0,'Price rules'!$B$9))</x:f>
        <x:v>49200</x:v>
      </x:c>
      <x:c r="J344" s="30" t="n">
        <x:f>IF(N344="conditional","",SUMIFS($F$5:$F$394,$A$5:$A$394,A344,$C$5:$C$394,C344,$D$5:$D$394,"&lt;="&amp;D344)+SUMIF(Towers!$A$5:$A$30,A344,Towers!$E$5:$E$30))</x:f>
        <x:v>52900</x:v>
      </x:c>
      <x:c r="K344" s="30"/>
      <x:c r="L344" s="25" t="str">
        <x:v>tank_killer</x:v>
      </x:c>
      <x:c r="M344" s="25" t="str">
        <x:v>Automatically spreads spikes across the track and retains an activated spike ability.</x:v>
      </x:c>
      <x:c r="N344" s="25" t="str">
        <x:v>fixed_upgrade_price</x:v>
      </x:c>
      <x:c r="O344" s="30" t="n">
        <x:v>41000</x:v>
      </x:c>
      <x:c r="P344" s="25" t="str">
        <x:v>https://raw.githubusercontent.com/Btd6ModHelper/btd6-game-data/main/Towers/SpikeFactory/SpikeFactory-050.json</x:v>
      </x:c>
      <x:c r="Q344" s="25" t="str">
        <x:v>https://raw.githubusercontent.com/hemisemidemipresent/cyberquincy/master/jsons/costs.json</x:v>
      </x:c>
      <x:c r="R344" s="25" t="str">
        <x:v>https://raw.githubusercontent.com/Btd6ModHelper/btd6-game-data/main/textTable.json</x:v>
      </x:c>
      <x:c r="S344" s="25"/>
      <x:c r="T344" s="25"/>
    </x:row>
    <x:row r="345" ht="64" customHeight="1">
      <x:c r="A345" s="25" t="str">
        <x:v>Spike Factory</x:v>
      </x:c>
      <x:c r="B345" s="80" t="str">
        <x:v>001</x:v>
      </x:c>
      <x:c r="C345" s="25" t="str">
        <x:v>bottom</x:v>
      </x:c>
      <x:c r="D345" s="25" t="n">
        <x:v>1</x:v>
      </x:c>
      <x:c r="E345" s="25" t="str">
        <x:v>Long Reach</x:v>
      </x:c>
      <x:c r="F345" s="30" t="n">
        <x:v>150</x:v>
      </x:c>
      <x:c r="G345" s="30" t="n">
        <x:f>IF(F345="","",FLOOR(INT(F345*'Price rules'!$B$5),'Price rules'!$B$9)+IF(MOD(INT(F345*'Price rules'!$B$5),'Price rules'!$B$9)&lt;'Price rules'!$B$10,0,'Price rules'!$B$9))</x:f>
        <x:v>125</x:v>
      </x:c>
      <x:c r="H345" s="30" t="n">
        <x:f>IF(F345="","",FLOOR(INT(F345*'Price rules'!$B$7),'Price rules'!$B$9)+IF(MOD(INT(F345*'Price rules'!$B$7),'Price rules'!$B$9)&lt;'Price rules'!$B$10,0,'Price rules'!$B$9))</x:f>
        <x:v>160</x:v>
      </x:c>
      <x:c r="I345" s="30" t="n">
        <x:f>IF(F345="","",FLOOR(INT(F345*'Price rules'!$B$8),'Price rules'!$B$9)+IF(MOD(INT(F345*'Price rules'!$B$8),'Price rules'!$B$9)&lt;'Price rules'!$B$10,0,'Price rules'!$B$9))</x:f>
        <x:v>180</x:v>
      </x:c>
      <x:c r="J345" s="30" t="n">
        <x:f>IF(N345="conditional","",SUMIFS($F$5:$F$394,$A$5:$A$394,A345,$C$5:$C$394,C345,$D$5:$D$394,"&lt;="&amp;D345)+SUMIF(Towers!$A$5:$A$30,A345,Towers!$E$5:$E$30))</x:f>
        <x:v>1150</x:v>
      </x:c>
      <x:c r="K345" s="30"/>
      <x:c r="L345" s="25" t="str">
        <x:v>summoner</x:v>
      </x:c>
      <x:c r="M345" s="25" t="str">
        <x:v>Increases placement range and spike lifetime.</x:v>
      </x:c>
      <x:c r="N345" s="25" t="str">
        <x:v>fixed_upgrade_price</x:v>
      </x:c>
      <x:c r="O345" s="30" t="n">
        <x:v>150</x:v>
      </x:c>
      <x:c r="P345" s="25" t="str">
        <x:v>https://raw.githubusercontent.com/Btd6ModHelper/btd6-game-data/main/Towers/SpikeFactory/SpikeFactory-001.json</x:v>
      </x:c>
      <x:c r="Q345" s="25" t="str">
        <x:v>https://raw.githubusercontent.com/hemisemidemipresent/cyberquincy/master/jsons/costs.json</x:v>
      </x:c>
      <x:c r="R345" s="25" t="str">
        <x:v>https://raw.githubusercontent.com/Btd6ModHelper/btd6-game-data/main/textTable.json</x:v>
      </x:c>
      <x:c r="S345" s="25"/>
      <x:c r="T345" s="25"/>
    </x:row>
    <x:row r="346" ht="64" customHeight="1">
      <x:c r="A346" s="25" t="str">
        <x:v>Spike Factory</x:v>
      </x:c>
      <x:c r="B346" s="80" t="str">
        <x:v>002</x:v>
      </x:c>
      <x:c r="C346" s="25" t="str">
        <x:v>bottom</x:v>
      </x:c>
      <x:c r="D346" s="25" t="n">
        <x:v>2</x:v>
      </x:c>
      <x:c r="E346" s="25" t="str">
        <x:v>Smart Spikes</x:v>
      </x:c>
      <x:c r="F346" s="30" t="n">
        <x:v>400</x:v>
      </x:c>
      <x:c r="G346" s="30" t="n">
        <x:f>IF(F346="","",FLOOR(INT(F346*'Price rules'!$B$5),'Price rules'!$B$9)+IF(MOD(INT(F346*'Price rules'!$B$5),'Price rules'!$B$9)&lt;'Price rules'!$B$10,0,'Price rules'!$B$9))</x:f>
        <x:v>340</x:v>
      </x:c>
      <x:c r="H346" s="30" t="n">
        <x:f>IF(F346="","",FLOOR(INT(F346*'Price rules'!$B$7),'Price rules'!$B$9)+IF(MOD(INT(F346*'Price rules'!$B$7),'Price rules'!$B$9)&lt;'Price rules'!$B$10,0,'Price rules'!$B$9))</x:f>
        <x:v>430</x:v>
      </x:c>
      <x:c r="I346" s="30" t="n">
        <x:f>IF(F346="","",FLOOR(INT(F346*'Price rules'!$B$8),'Price rules'!$B$9)+IF(MOD(INT(F346*'Price rules'!$B$8),'Price rules'!$B$9)&lt;'Price rules'!$B$10,0,'Price rules'!$B$9))</x:f>
        <x:v>480</x:v>
      </x:c>
      <x:c r="J346" s="30" t="n">
        <x:f>IF(N346="conditional","",SUMIFS($F$5:$F$394,$A$5:$A$394,A346,$C$5:$C$394,C346,$D$5:$D$394,"&lt;="&amp;D346)+SUMIF(Towers!$A$5:$A$30,A346,Towers!$E$5:$E$30))</x:f>
        <x:v>1550</x:v>
      </x:c>
      <x:c r="K346" s="30"/>
      <x:c r="L346" s="25" t="str">
        <x:v>summoner</x:v>
      </x:c>
      <x:c r="M346" s="25" t="str">
        <x:v>Adds placement targeting options and faster production at the start of a round.</x:v>
      </x:c>
      <x:c r="N346" s="25" t="str">
        <x:v>fixed_upgrade_price</x:v>
      </x:c>
      <x:c r="O346" s="30" t="n">
        <x:v>400</x:v>
      </x:c>
      <x:c r="P346" s="25" t="str">
        <x:v>https://raw.githubusercontent.com/Btd6ModHelper/btd6-game-data/main/Towers/SpikeFactory/SpikeFactory-002.json</x:v>
      </x:c>
      <x:c r="Q346" s="25" t="str">
        <x:v>https://raw.githubusercontent.com/hemisemidemipresent/cyberquincy/master/jsons/costs.json</x:v>
      </x:c>
      <x:c r="R346" s="25" t="str">
        <x:v>https://raw.githubusercontent.com/Btd6ModHelper/btd6-game-data/main/textTable.json</x:v>
      </x:c>
      <x:c r="S346" s="25"/>
      <x:c r="T346" s="25"/>
    </x:row>
    <x:row r="347" ht="64" customHeight="1">
      <x:c r="A347" s="25" t="str">
        <x:v>Spike Factory</x:v>
      </x:c>
      <x:c r="B347" s="80" t="str">
        <x:v>003</x:v>
      </x:c>
      <x:c r="C347" s="25" t="str">
        <x:v>bottom</x:v>
      </x:c>
      <x:c r="D347" s="25" t="n">
        <x:v>3</x:v>
      </x:c>
      <x:c r="E347" s="25" t="str">
        <x:v>Long Life Spikes</x:v>
      </x:c>
      <x:c r="F347" s="30" t="n">
        <x:v>1300</x:v>
      </x:c>
      <x:c r="G347" s="30" t="n">
        <x:f>IF(F347="","",FLOOR(INT(F347*'Price rules'!$B$5),'Price rules'!$B$9)+IF(MOD(INT(F347*'Price rules'!$B$5),'Price rules'!$B$9)&lt;'Price rules'!$B$10,0,'Price rules'!$B$9))</x:f>
        <x:v>1105</x:v>
      </x:c>
      <x:c r="H347" s="30" t="n">
        <x:f>IF(F347="","",FLOOR(INT(F347*'Price rules'!$B$7),'Price rules'!$B$9)+IF(MOD(INT(F347*'Price rules'!$B$7),'Price rules'!$B$9)&lt;'Price rules'!$B$10,0,'Price rules'!$B$9))</x:f>
        <x:v>1405</x:v>
      </x:c>
      <x:c r="I347" s="30" t="n">
        <x:f>IF(F347="","",FLOOR(INT(F347*'Price rules'!$B$8),'Price rules'!$B$9)+IF(MOD(INT(F347*'Price rules'!$B$8),'Price rules'!$B$9)&lt;'Price rules'!$B$10,0,'Price rules'!$B$9))</x:f>
        <x:v>1560</x:v>
      </x:c>
      <x:c r="J347" s="30" t="n">
        <x:f>IF(N347="conditional","",SUMIFS($F$5:$F$394,$A$5:$A$394,A347,$C$5:$C$394,C347,$D$5:$D$394,"&lt;="&amp;D347)+SUMIF(Towers!$A$5:$A$30,A347,Towers!$E$5:$E$30))</x:f>
        <x:v>2850</x:v>
      </x:c>
      <x:c r="K347" s="30"/>
      <x:c r="L347" s="25" t="str">
        <x:v>summoner</x:v>
      </x:c>
      <x:c r="M347" s="25" t="str">
        <x:v>Allows piles to survive across additional rounds.</x:v>
      </x:c>
      <x:c r="N347" s="25" t="str">
        <x:v>fixed_upgrade_price</x:v>
      </x:c>
      <x:c r="O347" s="30" t="n">
        <x:v>1300</x:v>
      </x:c>
      <x:c r="P347" s="25" t="str">
        <x:v>https://raw.githubusercontent.com/Btd6ModHelper/btd6-game-data/main/Towers/SpikeFactory/SpikeFactory-003.json</x:v>
      </x:c>
      <x:c r="Q347" s="25" t="str">
        <x:v>https://raw.githubusercontent.com/hemisemidemipresent/cyberquincy/master/jsons/costs.json</x:v>
      </x:c>
      <x:c r="R347" s="25" t="str">
        <x:v>https://raw.githubusercontent.com/Btd6ModHelper/btd6-game-data/main/textTable.json</x:v>
      </x:c>
      <x:c r="S347" s="25"/>
      <x:c r="T347" s="25"/>
    </x:row>
    <x:row r="348" ht="64" customHeight="1">
      <x:c r="A348" s="25" t="str">
        <x:v>Spike Factory</x:v>
      </x:c>
      <x:c r="B348" s="80" t="str">
        <x:v>004</x:v>
      </x:c>
      <x:c r="C348" s="25" t="str">
        <x:v>bottom</x:v>
      </x:c>
      <x:c r="D348" s="25" t="n">
        <x:v>4</x:v>
      </x:c>
      <x:c r="E348" s="25" t="str">
        <x:v>Deadly Spikes</x:v>
      </x:c>
      <x:c r="F348" s="30" t="n">
        <x:v>3600</x:v>
      </x:c>
      <x:c r="G348" s="30" t="n">
        <x:f>IF(F348="","",FLOOR(INT(F348*'Price rules'!$B$5),'Price rules'!$B$9)+IF(MOD(INT(F348*'Price rules'!$B$5),'Price rules'!$B$9)&lt;'Price rules'!$B$10,0,'Price rules'!$B$9))</x:f>
        <x:v>3060</x:v>
      </x:c>
      <x:c r="H348" s="30" t="n">
        <x:f>IF(F348="","",FLOOR(INT(F348*'Price rules'!$B$7),'Price rules'!$B$9)+IF(MOD(INT(F348*'Price rules'!$B$7),'Price rules'!$B$9)&lt;'Price rules'!$B$10,0,'Price rules'!$B$9))</x:f>
        <x:v>3890</x:v>
      </x:c>
      <x:c r="I348" s="30" t="n">
        <x:f>IF(F348="","",FLOOR(INT(F348*'Price rules'!$B$8),'Price rules'!$B$9)+IF(MOD(INT(F348*'Price rules'!$B$8),'Price rules'!$B$9)&lt;'Price rules'!$B$10,0,'Price rules'!$B$9))</x:f>
        <x:v>4320</x:v>
      </x:c>
      <x:c r="J348" s="30" t="n">
        <x:f>IF(N348="conditional","",SUMIFS($F$5:$F$394,$A$5:$A$394,A348,$C$5:$C$394,C348,$D$5:$D$394,"&lt;="&amp;D348)+SUMIF(Towers!$A$5:$A$30,A348,Towers!$E$5:$E$30))</x:f>
        <x:v>6450</x:v>
      </x:c>
      <x:c r="K348" s="30"/>
      <x:c r="L348" s="25" t="str">
        <x:v>summoner</x:v>
      </x:c>
      <x:c r="M348" s="25" t="str">
        <x:v>Increases spike damage and persistence.</x:v>
      </x:c>
      <x:c r="N348" s="25" t="str">
        <x:v>fixed_upgrade_price</x:v>
      </x:c>
      <x:c r="O348" s="30" t="n">
        <x:v>3600</x:v>
      </x:c>
      <x:c r="P348" s="25" t="str">
        <x:v>https://raw.githubusercontent.com/Btd6ModHelper/btd6-game-data/main/Towers/SpikeFactory/SpikeFactory-004.json</x:v>
      </x:c>
      <x:c r="Q348" s="25" t="str">
        <x:v>https://raw.githubusercontent.com/hemisemidemipresent/cyberquincy/master/jsons/costs.json</x:v>
      </x:c>
      <x:c r="R348" s="25" t="str">
        <x:v>https://raw.githubusercontent.com/Btd6ModHelper/btd6-game-data/main/textTable.json</x:v>
      </x:c>
      <x:c r="S348" s="25"/>
      <x:c r="T348" s="25"/>
    </x:row>
    <x:row r="349" ht="64" customHeight="1">
      <x:c r="A349" s="25" t="str">
        <x:v>Spike Factory</x:v>
      </x:c>
      <x:c r="B349" s="80" t="str">
        <x:v>005</x:v>
      </x:c>
      <x:c r="C349" s="25" t="str">
        <x:v>bottom</x:v>
      </x:c>
      <x:c r="D349" s="25" t="n">
        <x:v>5</x:v>
      </x:c>
      <x:c r="E349" s="25" t="str">
        <x:v>Perma-Spike</x:v>
      </x:c>
      <x:c r="F349" s="30" t="n">
        <x:v>30000</x:v>
      </x:c>
      <x:c r="G349" s="30" t="n">
        <x:f>IF(F349="","",FLOOR(INT(F349*'Price rules'!$B$5),'Price rules'!$B$9)+IF(MOD(INT(F349*'Price rules'!$B$5),'Price rules'!$B$9)&lt;'Price rules'!$B$10,0,'Price rules'!$B$9))</x:f>
        <x:v>25500</x:v>
      </x:c>
      <x:c r="H349" s="30" t="n">
        <x:f>IF(F349="","",FLOOR(INT(F349*'Price rules'!$B$7),'Price rules'!$B$9)+IF(MOD(INT(F349*'Price rules'!$B$7),'Price rules'!$B$9)&lt;'Price rules'!$B$10,0,'Price rules'!$B$9))</x:f>
        <x:v>32400</x:v>
      </x:c>
      <x:c r="I349" s="30" t="n">
        <x:f>IF(F349="","",FLOOR(INT(F349*'Price rules'!$B$8),'Price rules'!$B$9)+IF(MOD(INT(F349*'Price rules'!$B$8),'Price rules'!$B$9)&lt;'Price rules'!$B$10,0,'Price rules'!$B$9))</x:f>
        <x:v>36000</x:v>
      </x:c>
      <x:c r="J349" s="30" t="n">
        <x:f>IF(N349="conditional","",SUMIFS($F$5:$F$394,$A$5:$A$394,A349,$C$5:$C$394,C349,$D$5:$D$394,"&lt;="&amp;D349)+SUMIF(Towers!$A$5:$A$30,A349,Towers!$E$5:$E$30))</x:f>
        <x:v>36450</x:v>
      </x:c>
      <x:c r="K349" s="30"/>
      <x:c r="L349" s="25" t="str">
        <x:v>summoner</x:v>
      </x:c>
      <x:c r="M349" s="25" t="str">
        <x:v>Produces high-damage, long-lived spike piles; they still have finite lifetime and hit capacity.</x:v>
      </x:c>
      <x:c r="N349" s="25" t="str">
        <x:v>fixed_upgrade_price</x:v>
      </x:c>
      <x:c r="O349" s="30" t="n">
        <x:v>30000</x:v>
      </x:c>
      <x:c r="P349" s="25" t="str">
        <x:v>https://raw.githubusercontent.com/Btd6ModHelper/btd6-game-data/main/Towers/SpikeFactory/SpikeFactory-005.json</x:v>
      </x:c>
      <x:c r="Q349" s="25" t="str">
        <x:v>https://raw.githubusercontent.com/hemisemidemipresent/cyberquincy/master/jsons/costs.json</x:v>
      </x:c>
      <x:c r="R349" s="25" t="str">
        <x:v>https://raw.githubusercontent.com/Btd6ModHelper/btd6-game-data/main/textTable.json</x:v>
      </x:c>
      <x:c r="S349" s="25"/>
      <x:c r="T349" s="25"/>
    </x:row>
    <x:row r="350" ht="64" customHeight="1">
      <x:c r="A350" s="25" t="str">
        <x:v>Monkey Village</x:v>
      </x:c>
      <x:c r="B350" s="80" t="str">
        <x:v>100</x:v>
      </x:c>
      <x:c r="C350" s="25" t="str">
        <x:v>top</x:v>
      </x:c>
      <x:c r="D350" s="25" t="n">
        <x:v>1</x:v>
      </x:c>
      <x:c r="E350" s="25" t="str">
        <x:v>Bigger Radius</x:v>
      </x:c>
      <x:c r="F350" s="30" t="n">
        <x:v>400</x:v>
      </x:c>
      <x:c r="G350" s="30" t="n">
        <x:f>IF(F350="","",FLOOR(INT(F350*'Price rules'!$B$5),'Price rules'!$B$9)+IF(MOD(INT(F350*'Price rules'!$B$5),'Price rules'!$B$9)&lt;'Price rules'!$B$10,0,'Price rules'!$B$9))</x:f>
        <x:v>340</x:v>
      </x:c>
      <x:c r="H350" s="30" t="n">
        <x:f>IF(F350="","",FLOOR(INT(F350*'Price rules'!$B$7),'Price rules'!$B$9)+IF(MOD(INT(F350*'Price rules'!$B$7),'Price rules'!$B$9)&lt;'Price rules'!$B$10,0,'Price rules'!$B$9))</x:f>
        <x:v>430</x:v>
      </x:c>
      <x:c r="I350" s="30" t="n">
        <x:f>IF(F350="","",FLOOR(INT(F350*'Price rules'!$B$8),'Price rules'!$B$9)+IF(MOD(INT(F350*'Price rules'!$B$8),'Price rules'!$B$9)&lt;'Price rules'!$B$10,0,'Price rules'!$B$9))</x:f>
        <x:v>480</x:v>
      </x:c>
      <x:c r="J350" s="30" t="n">
        <x:f>IF(N350="conditional","",SUMIFS($F$5:$F$394,$A$5:$A$394,A350,$C$5:$C$394,C350,$D$5:$D$394,"&lt;="&amp;D350)+SUMIF(Towers!$A$5:$A$30,A350,Towers!$E$5:$E$30))</x:f>
        <x:v>1600</x:v>
      </x:c>
      <x:c r="K350" s="30" t="n">
        <x:v>160</x:v>
      </x:c>
      <x:c r="L350" s="25" t="str">
        <x:v>support</x:v>
      </x:c>
      <x:c r="M350" s="25" t="str">
        <x:v>Increases the Village's support radius.</x:v>
      </x:c>
      <x:c r="N350" s="25" t="str">
        <x:v>fixed_upgrade_price</x:v>
      </x:c>
      <x:c r="O350" s="30" t="n">
        <x:v>400</x:v>
      </x:c>
      <x:c r="P350" s="25" t="str">
        <x:v>https://raw.githubusercontent.com/Btd6ModHelper/btd6-game-data/main/Towers/MonkeyVillage/MonkeyVillage-100.json</x:v>
      </x:c>
      <x:c r="Q350" s="25" t="str">
        <x:v>https://raw.githubusercontent.com/hemisemidemipresent/cyberquincy/master/jsons/costs.json</x:v>
      </x:c>
      <x:c r="R350" s="25" t="str">
        <x:v>https://raw.githubusercontent.com/Btd6ModHelper/btd6-game-data/main/textTable.json</x:v>
      </x:c>
      <x:c r="S350" s="25" t="str">
        <x:v>https://www.bloonswiki.com/Monkey_Village_(BTD6)</x:v>
      </x:c>
      <x:c r="T350" s="25" t="str">
        <x:v>46.2</x:v>
      </x:c>
    </x:row>
    <x:row r="351" ht="64" customHeight="1">
      <x:c r="A351" s="25" t="str">
        <x:v>Monkey Village</x:v>
      </x:c>
      <x:c r="B351" s="80" t="str">
        <x:v>200</x:v>
      </x:c>
      <x:c r="C351" s="25" t="str">
        <x:v>top</x:v>
      </x:c>
      <x:c r="D351" s="25" t="n">
        <x:v>2</x:v>
      </x:c>
      <x:c r="E351" s="25" t="str">
        <x:v>Jungle Drums</x:v>
      </x:c>
      <x:c r="F351" s="30" t="n">
        <x:v>1500</x:v>
      </x:c>
      <x:c r="G351" s="30" t="n">
        <x:f>IF(F351="","",FLOOR(INT(F351*'Price rules'!$B$5),'Price rules'!$B$9)+IF(MOD(INT(F351*'Price rules'!$B$5),'Price rules'!$B$9)&lt;'Price rules'!$B$10,0,'Price rules'!$B$9))</x:f>
        <x:v>1275</x:v>
      </x:c>
      <x:c r="H351" s="30" t="n">
        <x:f>IF(F351="","",FLOOR(INT(F351*'Price rules'!$B$7),'Price rules'!$B$9)+IF(MOD(INT(F351*'Price rules'!$B$7),'Price rules'!$B$9)&lt;'Price rules'!$B$10,0,'Price rules'!$B$9))</x:f>
        <x:v>1620</x:v>
      </x:c>
      <x:c r="I351" s="30" t="n">
        <x:f>IF(F351="","",FLOOR(INT(F351*'Price rules'!$B$8),'Price rules'!$B$9)+IF(MOD(INT(F351*'Price rules'!$B$8),'Price rules'!$B$9)&lt;'Price rules'!$B$10,0,'Price rules'!$B$9))</x:f>
        <x:v>1800</x:v>
      </x:c>
      <x:c r="J351" s="30" t="n">
        <x:f>IF(N351="conditional","",SUMIFS($F$5:$F$394,$A$5:$A$394,A351,$C$5:$C$394,C351,$D$5:$D$394,"&lt;="&amp;D351)+SUMIF(Towers!$A$5:$A$30,A351,Towers!$E$5:$E$30))</x:f>
        <x:v>3100</x:v>
      </x:c>
      <x:c r="K351" s="30" t="n">
        <x:v>1000</x:v>
      </x:c>
      <x:c r="L351" s="25" t="str">
        <x:v>support</x:v>
      </x:c>
      <x:c r="M351" s="25" t="str">
        <x:v>Increases the attack speed of nearby towers.</x:v>
      </x:c>
      <x:c r="N351" s="25" t="str">
        <x:v>fixed_upgrade_price</x:v>
      </x:c>
      <x:c r="O351" s="30" t="n">
        <x:v>1500</x:v>
      </x:c>
      <x:c r="P351" s="25" t="str">
        <x:v>https://raw.githubusercontent.com/Btd6ModHelper/btd6-game-data/main/Towers/MonkeyVillage/MonkeyVillage-200.json</x:v>
      </x:c>
      <x:c r="Q351" s="25" t="str">
        <x:v>https://raw.githubusercontent.com/hemisemidemipresent/cyberquincy/master/jsons/costs.json</x:v>
      </x:c>
      <x:c r="R351" s="25" t="str">
        <x:v>https://raw.githubusercontent.com/Btd6ModHelper/btd6-game-data/main/textTable.json</x:v>
      </x:c>
      <x:c r="S351" s="25" t="str">
        <x:v>https://www.bloonswiki.com/Monkey_Village_(BTD6)</x:v>
      </x:c>
      <x:c r="T351" s="25" t="str">
        <x:v>46.2</x:v>
      </x:c>
    </x:row>
    <x:row r="352" ht="64" customHeight="1">
      <x:c r="A352" s="25" t="str">
        <x:v>Monkey Village</x:v>
      </x:c>
      <x:c r="B352" s="80" t="str">
        <x:v>300</x:v>
      </x:c>
      <x:c r="C352" s="25" t="str">
        <x:v>top</x:v>
      </x:c>
      <x:c r="D352" s="25" t="n">
        <x:v>3</x:v>
      </x:c>
      <x:c r="E352" s="25" t="str">
        <x:v>Primary Training</x:v>
      </x:c>
      <x:c r="F352" s="30" t="n">
        <x:v>800</x:v>
      </x:c>
      <x:c r="G352" s="30" t="n">
        <x:f>IF(F352="","",FLOOR(INT(F352*'Price rules'!$B$5),'Price rules'!$B$9)+IF(MOD(INT(F352*'Price rules'!$B$5),'Price rules'!$B$9)&lt;'Price rules'!$B$10,0,'Price rules'!$B$9))</x:f>
        <x:v>680</x:v>
      </x:c>
      <x:c r="H352" s="30" t="n">
        <x:f>IF(F352="","",FLOOR(INT(F352*'Price rules'!$B$7),'Price rules'!$B$9)+IF(MOD(INT(F352*'Price rules'!$B$7),'Price rules'!$B$9)&lt;'Price rules'!$B$10,0,'Price rules'!$B$9))</x:f>
        <x:v>865</x:v>
      </x:c>
      <x:c r="I352" s="30" t="n">
        <x:f>IF(F352="","",FLOOR(INT(F352*'Price rules'!$B$8),'Price rules'!$B$9)+IF(MOD(INT(F352*'Price rules'!$B$8),'Price rules'!$B$9)&lt;'Price rules'!$B$10,0,'Price rules'!$B$9))</x:f>
        <x:v>960</x:v>
      </x:c>
      <x:c r="J352" s="30" t="n">
        <x:f>IF(N352="conditional","",SUMIFS($F$5:$F$394,$A$5:$A$394,A352,$C$5:$C$394,C352,$D$5:$D$394,"&lt;="&amp;D352)+SUMIF(Towers!$A$5:$A$30,A352,Towers!$E$5:$E$30))</x:f>
        <x:v>3900</x:v>
      </x:c>
      <x:c r="K352" s="30" t="n">
        <x:v>2000</x:v>
      </x:c>
      <x:c r="L352" s="25" t="str">
        <x:v>support</x:v>
      </x:c>
      <x:c r="M352" s="25" t="str">
        <x:v>Improves nearby Primary towers' range, pierce, and projectile speed.</x:v>
      </x:c>
      <x:c r="N352" s="25" t="str">
        <x:v>fixed_upgrade_price</x:v>
      </x:c>
      <x:c r="O352" s="30" t="n">
        <x:v>800</x:v>
      </x:c>
      <x:c r="P352" s="25" t="str">
        <x:v>https://raw.githubusercontent.com/Btd6ModHelper/btd6-game-data/main/Towers/MonkeyVillage/MonkeyVillage-300.json</x:v>
      </x:c>
      <x:c r="Q352" s="25" t="str">
        <x:v>https://raw.githubusercontent.com/hemisemidemipresent/cyberquincy/master/jsons/costs.json</x:v>
      </x:c>
      <x:c r="R352" s="25" t="str">
        <x:v>https://raw.githubusercontent.com/Btd6ModHelper/btd6-game-data/main/textTable.json</x:v>
      </x:c>
      <x:c r="S352" s="25" t="str">
        <x:v>https://www.bloonswiki.com/Monkey_Village_(BTD6)</x:v>
      </x:c>
      <x:c r="T352" s="25" t="str">
        <x:v>46.2</x:v>
      </x:c>
    </x:row>
    <x:row r="353" ht="64" customHeight="1">
      <x:c r="A353" s="25" t="str">
        <x:v>Monkey Village</x:v>
      </x:c>
      <x:c r="B353" s="80" t="str">
        <x:v>400</x:v>
      </x:c>
      <x:c r="C353" s="25" t="str">
        <x:v>top</x:v>
      </x:c>
      <x:c r="D353" s="25" t="n">
        <x:v>4</x:v>
      </x:c>
      <x:c r="E353" s="25" t="str">
        <x:v>Primary Mentoring</x:v>
      </x:c>
      <x:c r="F353" s="30" t="n">
        <x:v>2500</x:v>
      </x:c>
      <x:c r="G353" s="30" t="n">
        <x:f>IF(F353="","",FLOOR(INT(F353*'Price rules'!$B$5),'Price rules'!$B$9)+IF(MOD(INT(F353*'Price rules'!$B$5),'Price rules'!$B$9)&lt;'Price rules'!$B$10,0,'Price rules'!$B$9))</x:f>
        <x:v>2125</x:v>
      </x:c>
      <x:c r="H353" s="30" t="n">
        <x:f>IF(F353="","",FLOOR(INT(F353*'Price rules'!$B$7),'Price rules'!$B$9)+IF(MOD(INT(F353*'Price rules'!$B$7),'Price rules'!$B$9)&lt;'Price rules'!$B$10,0,'Price rules'!$B$9))</x:f>
        <x:v>2700</x:v>
      </x:c>
      <x:c r="I353" s="30" t="n">
        <x:f>IF(F353="","",FLOOR(INT(F353*'Price rules'!$B$8),'Price rules'!$B$9)+IF(MOD(INT(F353*'Price rules'!$B$8),'Price rules'!$B$9)&lt;'Price rules'!$B$10,0,'Price rules'!$B$9))</x:f>
        <x:v>3000</x:v>
      </x:c>
      <x:c r="J353" s="30" t="n">
        <x:f>IF(N353="conditional","",SUMIFS($F$5:$F$394,$A$5:$A$394,A353,$C$5:$C$394,C353,$D$5:$D$394,"&lt;="&amp;D353)+SUMIF(Towers!$A$5:$A$30,A353,Towers!$E$5:$E$30))</x:f>
        <x:v>6400</x:v>
      </x:c>
      <x:c r="K353" s="30" t="n">
        <x:v>12000</x:v>
      </x:c>
      <x:c r="L353" s="25" t="str">
        <x:v>support</x:v>
      </x:c>
      <x:c r="M353" s="25" t="str">
        <x:v>Adds stronger Primary support, free tier-one upgrades, and ability cooldown benefits.</x:v>
      </x:c>
      <x:c r="N353" s="25" t="str">
        <x:v>fixed_upgrade_price</x:v>
      </x:c>
      <x:c r="O353" s="30" t="n">
        <x:v>2500</x:v>
      </x:c>
      <x:c r="P353" s="25" t="str">
        <x:v>https://raw.githubusercontent.com/Btd6ModHelper/btd6-game-data/main/Towers/MonkeyVillage/MonkeyVillage-400.json</x:v>
      </x:c>
      <x:c r="Q353" s="25" t="str">
        <x:v>https://raw.githubusercontent.com/hemisemidemipresent/cyberquincy/master/jsons/costs.json</x:v>
      </x:c>
      <x:c r="R353" s="25" t="str">
        <x:v>https://raw.githubusercontent.com/Btd6ModHelper/btd6-game-data/main/textTable.json</x:v>
      </x:c>
      <x:c r="S353" s="25" t="str">
        <x:v>https://www.bloonswiki.com/Monkey_Village_(BTD6)</x:v>
      </x:c>
      <x:c r="T353" s="25" t="str">
        <x:v>46.2</x:v>
      </x:c>
    </x:row>
    <x:row r="354" ht="64" customHeight="1">
      <x:c r="A354" s="25" t="str">
        <x:v>Monkey Village</x:v>
      </x:c>
      <x:c r="B354" s="80" t="str">
        <x:v>500</x:v>
      </x:c>
      <x:c r="C354" s="25" t="str">
        <x:v>top</x:v>
      </x:c>
      <x:c r="D354" s="25" t="n">
        <x:v>5</x:v>
      </x:c>
      <x:c r="E354" s="25" t="str">
        <x:v>Primary Expertise</x:v>
      </x:c>
      <x:c r="F354" s="30" t="n">
        <x:v>25000</x:v>
      </x:c>
      <x:c r="G354" s="30" t="n">
        <x:f>IF(F354="","",FLOOR(INT(F354*'Price rules'!$B$5),'Price rules'!$B$9)+IF(MOD(INT(F354*'Price rules'!$B$5),'Price rules'!$B$9)&lt;'Price rules'!$B$10,0,'Price rules'!$B$9))</x:f>
        <x:v>21250</x:v>
      </x:c>
      <x:c r="H354" s="30" t="n">
        <x:f>IF(F354="","",FLOOR(INT(F354*'Price rules'!$B$7),'Price rules'!$B$9)+IF(MOD(INT(F354*'Price rules'!$B$7),'Price rules'!$B$9)&lt;'Price rules'!$B$10,0,'Price rules'!$B$9))</x:f>
        <x:v>27000</x:v>
      </x:c>
      <x:c r="I354" s="30" t="n">
        <x:f>IF(F354="","",FLOOR(INT(F354*'Price rules'!$B$8),'Price rules'!$B$9)+IF(MOD(INT(F354*'Price rules'!$B$8),'Price rules'!$B$9)&lt;'Price rules'!$B$10,0,'Price rules'!$B$9))</x:f>
        <x:v>30000</x:v>
      </x:c>
      <x:c r="J354" s="30" t="n">
        <x:f>IF(N354="conditional","",SUMIFS($F$5:$F$394,$A$5:$A$394,A354,$C$5:$C$394,C354,$D$5:$D$394,"&lt;="&amp;D354)+SUMIF(Towers!$A$5:$A$30,A354,Towers!$E$5:$E$30))</x:f>
        <x:v>31400</x:v>
      </x:c>
      <x:c r="K354" s="30" t="n">
        <x:v>32000</x:v>
      </x:c>
      <x:c r="L354" s="25" t="str">
        <x:v>support</x:v>
      </x:c>
      <x:c r="M354" s="25" t="str">
        <x:v>Adds a damaging ballista attack and free tier-one and tier-two upgrades for supported Primary towers.</x:v>
      </x:c>
      <x:c r="N354" s="25" t="str">
        <x:v>fixed_upgrade_price</x:v>
      </x:c>
      <x:c r="O354" s="30" t="n">
        <x:v>25000</x:v>
      </x:c>
      <x:c r="P354" s="25" t="str">
        <x:v>https://raw.githubusercontent.com/Btd6ModHelper/btd6-game-data/main/Towers/MonkeyVillage/MonkeyVillage-500.json</x:v>
      </x:c>
      <x:c r="Q354" s="25" t="str">
        <x:v>https://raw.githubusercontent.com/hemisemidemipresent/cyberquincy/master/jsons/costs.json</x:v>
      </x:c>
      <x:c r="R354" s="25" t="str">
        <x:v>https://raw.githubusercontent.com/Btd6ModHelper/btd6-game-data/main/textTable.json</x:v>
      </x:c>
      <x:c r="S354" s="25" t="str">
        <x:v>https://www.bloonswiki.com/Monkey_Village_(BTD6)</x:v>
      </x:c>
      <x:c r="T354" s="25" t="str">
        <x:v>46.2</x:v>
      </x:c>
    </x:row>
    <x:row r="355" ht="64" customHeight="1">
      <x:c r="A355" s="25" t="str">
        <x:v>Monkey Village</x:v>
      </x:c>
      <x:c r="B355" s="80" t="str">
        <x:v>010</x:v>
      </x:c>
      <x:c r="C355" s="25" t="str">
        <x:v>middle</x:v>
      </x:c>
      <x:c r="D355" s="25" t="n">
        <x:v>1</x:v>
      </x:c>
      <x:c r="E355" s="25" t="str">
        <x:v>Grow Blocker</x:v>
      </x:c>
      <x:c r="F355" s="30" t="n">
        <x:v>250</x:v>
      </x:c>
      <x:c r="G355" s="30" t="n">
        <x:f>IF(F355="","",FLOOR(INT(F355*'Price rules'!$B$5),'Price rules'!$B$9)+IF(MOD(INT(F355*'Price rules'!$B$5),'Price rules'!$B$9)&lt;'Price rules'!$B$10,0,'Price rules'!$B$9))</x:f>
        <x:v>210</x:v>
      </x:c>
      <x:c r="H355" s="30" t="n">
        <x:f>IF(F355="","",FLOOR(INT(F355*'Price rules'!$B$7),'Price rules'!$B$9)+IF(MOD(INT(F355*'Price rules'!$B$7),'Price rules'!$B$9)&lt;'Price rules'!$B$10,0,'Price rules'!$B$9))</x:f>
        <x:v>270</x:v>
      </x:c>
      <x:c r="I355" s="30" t="n">
        <x:f>IF(F355="","",FLOOR(INT(F355*'Price rules'!$B$8),'Price rules'!$B$9)+IF(MOD(INT(F355*'Price rules'!$B$8),'Price rules'!$B$9)&lt;'Price rules'!$B$10,0,'Price rules'!$B$9))</x:f>
        <x:v>300</x:v>
      </x:c>
      <x:c r="J355" s="30" t="n">
        <x:f>IF(N355="conditional","",SUMIFS($F$5:$F$394,$A$5:$A$394,A355,$C$5:$C$394,C355,$D$5:$D$394,"&lt;="&amp;D355)+SUMIF(Towers!$A$5:$A$30,A355,Towers!$E$5:$E$30))</x:f>
        <x:v>1450</x:v>
      </x:c>
      <x:c r="K355" s="30" t="n">
        <x:v>150</x:v>
      </x:c>
      <x:c r="L355" s="25" t="str">
        <x:v>support</x:v>
      </x:c>
      <x:c r="M355" s="25" t="str">
        <x:v>Prevents Regrow Bloons from regrowing within range.</x:v>
      </x:c>
      <x:c r="N355" s="25" t="str">
        <x:v>fixed_upgrade_price</x:v>
      </x:c>
      <x:c r="O355" s="30" t="n">
        <x:v>250</x:v>
      </x:c>
      <x:c r="P355" s="25" t="str">
        <x:v>https://raw.githubusercontent.com/Btd6ModHelper/btd6-game-data/main/Towers/MonkeyVillage/MonkeyVillage-010.json</x:v>
      </x:c>
      <x:c r="Q355" s="25" t="str">
        <x:v>https://raw.githubusercontent.com/hemisemidemipresent/cyberquincy/master/jsons/costs.json</x:v>
      </x:c>
      <x:c r="R355" s="25" t="str">
        <x:v>https://raw.githubusercontent.com/Btd6ModHelper/btd6-game-data/main/textTable.json</x:v>
      </x:c>
      <x:c r="S355" s="25" t="str">
        <x:v>https://www.bloonswiki.com/Monkey_Village_(BTD6)</x:v>
      </x:c>
      <x:c r="T355" s="25" t="str">
        <x:v>46.2</x:v>
      </x:c>
    </x:row>
    <x:row r="356" ht="64" customHeight="1">
      <x:c r="A356" s="25" t="str">
        <x:v>Monkey Village</x:v>
      </x:c>
      <x:c r="B356" s="80" t="str">
        <x:v>020</x:v>
      </x:c>
      <x:c r="C356" s="25" t="str">
        <x:v>middle</x:v>
      </x:c>
      <x:c r="D356" s="25" t="n">
        <x:v>2</x:v>
      </x:c>
      <x:c r="E356" s="25" t="str">
        <x:v>Radar Scanner</x:v>
      </x:c>
      <x:c r="F356" s="30" t="n">
        <x:v>2000</x:v>
      </x:c>
      <x:c r="G356" s="30" t="n">
        <x:f>IF(F356="","",FLOOR(INT(F356*'Price rules'!$B$5),'Price rules'!$B$9)+IF(MOD(INT(F356*'Price rules'!$B$5),'Price rules'!$B$9)&lt;'Price rules'!$B$10,0,'Price rules'!$B$9))</x:f>
        <x:v>1700</x:v>
      </x:c>
      <x:c r="H356" s="30" t="n">
        <x:f>IF(F356="","",FLOOR(INT(F356*'Price rules'!$B$7),'Price rules'!$B$9)+IF(MOD(INT(F356*'Price rules'!$B$7),'Price rules'!$B$9)&lt;'Price rules'!$B$10,0,'Price rules'!$B$9))</x:f>
        <x:v>2160</x:v>
      </x:c>
      <x:c r="I356" s="30" t="n">
        <x:f>IF(F356="","",FLOOR(INT(F356*'Price rules'!$B$8),'Price rules'!$B$9)+IF(MOD(INT(F356*'Price rules'!$B$8),'Price rules'!$B$9)&lt;'Price rules'!$B$10,0,'Price rules'!$B$9))</x:f>
        <x:v>2400</x:v>
      </x:c>
      <x:c r="J356" s="30" t="n">
        <x:f>IF(N356="conditional","",SUMIFS($F$5:$F$394,$A$5:$A$394,A356,$C$5:$C$394,C356,$D$5:$D$394,"&lt;="&amp;D356)+SUMIF(Towers!$A$5:$A$30,A356,Towers!$E$5:$E$30))</x:f>
        <x:v>3450</x:v>
      </x:c>
      <x:c r="K356" s="30" t="n">
        <x:v>2500</x:v>
      </x:c>
      <x:c r="L356" s="25" t="str">
        <x:v>support</x:v>
      </x:c>
      <x:c r="M356" s="25" t="str">
        <x:v>Grants Camo detection to nearby towers.</x:v>
      </x:c>
      <x:c r="N356" s="25" t="str">
        <x:v>fixed_upgrade_price</x:v>
      </x:c>
      <x:c r="O356" s="30" t="n">
        <x:v>2000</x:v>
      </x:c>
      <x:c r="P356" s="25" t="str">
        <x:v>https://raw.githubusercontent.com/Btd6ModHelper/btd6-game-data/main/Towers/MonkeyVillage/MonkeyVillage-020.json</x:v>
      </x:c>
      <x:c r="Q356" s="25" t="str">
        <x:v>https://raw.githubusercontent.com/hemisemidemipresent/cyberquincy/master/jsons/costs.json</x:v>
      </x:c>
      <x:c r="R356" s="25" t="str">
        <x:v>https://raw.githubusercontent.com/Btd6ModHelper/btd6-game-data/main/textTable.json</x:v>
      </x:c>
      <x:c r="S356" s="25" t="str">
        <x:v>https://www.bloonswiki.com/Monkey_Village_(BTD6)</x:v>
      </x:c>
      <x:c r="T356" s="25" t="str">
        <x:v>46.2</x:v>
      </x:c>
    </x:row>
    <x:row r="357" ht="64" customHeight="1">
      <x:c r="A357" s="25" t="str">
        <x:v>Monkey Village</x:v>
      </x:c>
      <x:c r="B357" s="80" t="str">
        <x:v>030</x:v>
      </x:c>
      <x:c r="C357" s="25" t="str">
        <x:v>middle</x:v>
      </x:c>
      <x:c r="D357" s="25" t="n">
        <x:v>3</x:v>
      </x:c>
      <x:c r="E357" s="25" t="str">
        <x:v>Monkey Intelligence Bureau</x:v>
      </x:c>
      <x:c r="F357" s="30" t="n">
        <x:v>7500</x:v>
      </x:c>
      <x:c r="G357" s="30" t="n">
        <x:f>IF(F357="","",FLOOR(INT(F357*'Price rules'!$B$5),'Price rules'!$B$9)+IF(MOD(INT(F357*'Price rules'!$B$5),'Price rules'!$B$9)&lt;'Price rules'!$B$10,0,'Price rules'!$B$9))</x:f>
        <x:v>6375</x:v>
      </x:c>
      <x:c r="H357" s="30" t="n">
        <x:f>IF(F357="","",FLOOR(INT(F357*'Price rules'!$B$7),'Price rules'!$B$9)+IF(MOD(INT(F357*'Price rules'!$B$7),'Price rules'!$B$9)&lt;'Price rules'!$B$10,0,'Price rules'!$B$9))</x:f>
        <x:v>8100</x:v>
      </x:c>
      <x:c r="I357" s="30" t="n">
        <x:f>IF(F357="","",FLOOR(INT(F357*'Price rules'!$B$8),'Price rules'!$B$9)+IF(MOD(INT(F357*'Price rules'!$B$8),'Price rules'!$B$9)&lt;'Price rules'!$B$10,0,'Price rules'!$B$9))</x:f>
        <x:v>9000</x:v>
      </x:c>
      <x:c r="J357" s="30" t="n">
        <x:f>IF(N357="conditional","",SUMIFS($F$5:$F$394,$A$5:$A$394,A357,$C$5:$C$394,C357,$D$5:$D$394,"&lt;="&amp;D357)+SUMIF(Towers!$A$5:$A$30,A357,Towers!$E$5:$E$30))</x:f>
        <x:v>10950</x:v>
      </x:c>
      <x:c r="K357" s="30" t="n">
        <x:v>3500</x:v>
      </x:c>
      <x:c r="L357" s="25" t="str">
        <x:v>support</x:v>
      </x:c>
      <x:c r="M357" s="25" t="str">
        <x:v>Lets supported towers damage all normal Bloon immunity types.</x:v>
      </x:c>
      <x:c r="N357" s="25" t="str">
        <x:v>fixed_upgrade_price</x:v>
      </x:c>
      <x:c r="O357" s="30" t="n">
        <x:v>7500</x:v>
      </x:c>
      <x:c r="P357" s="25" t="str">
        <x:v>https://raw.githubusercontent.com/Btd6ModHelper/btd6-game-data/main/Towers/MonkeyVillage/MonkeyVillage-030.json</x:v>
      </x:c>
      <x:c r="Q357" s="25" t="str">
        <x:v>https://raw.githubusercontent.com/hemisemidemipresent/cyberquincy/master/jsons/costs.json</x:v>
      </x:c>
      <x:c r="R357" s="25" t="str">
        <x:v>https://raw.githubusercontent.com/Btd6ModHelper/btd6-game-data/main/textTable.json</x:v>
      </x:c>
      <x:c r="S357" s="25" t="str">
        <x:v>https://www.bloonswiki.com/Monkey_Village_(BTD6)</x:v>
      </x:c>
      <x:c r="T357" s="25" t="str">
        <x:v>46.2</x:v>
      </x:c>
    </x:row>
    <x:row r="358" ht="64" customHeight="1">
      <x:c r="A358" s="25" t="str">
        <x:v>Monkey Village</x:v>
      </x:c>
      <x:c r="B358" s="80" t="str">
        <x:v>040</x:v>
      </x:c>
      <x:c r="C358" s="25" t="str">
        <x:v>middle</x:v>
      </x:c>
      <x:c r="D358" s="25" t="n">
        <x:v>4</x:v>
      </x:c>
      <x:c r="E358" s="25" t="str">
        <x:v>Call to Arms</x:v>
      </x:c>
      <x:c r="F358" s="30" t="n">
        <x:v>20000</x:v>
      </x:c>
      <x:c r="G358" s="30" t="n">
        <x:f>IF(F358="","",FLOOR(INT(F358*'Price rules'!$B$5),'Price rules'!$B$9)+IF(MOD(INT(F358*'Price rules'!$B$5),'Price rules'!$B$9)&lt;'Price rules'!$B$10,0,'Price rules'!$B$9))</x:f>
        <x:v>17000</x:v>
      </x:c>
      <x:c r="H358" s="30" t="n">
        <x:f>IF(F358="","",FLOOR(INT(F358*'Price rules'!$B$7),'Price rules'!$B$9)+IF(MOD(INT(F358*'Price rules'!$B$7),'Price rules'!$B$9)&lt;'Price rules'!$B$10,0,'Price rules'!$B$9))</x:f>
        <x:v>21600</x:v>
      </x:c>
      <x:c r="I358" s="30" t="n">
        <x:f>IF(F358="","",FLOOR(INT(F358*'Price rules'!$B$8),'Price rules'!$B$9)+IF(MOD(INT(F358*'Price rules'!$B$8),'Price rules'!$B$9)&lt;'Price rules'!$B$10,0,'Price rules'!$B$9))</x:f>
        <x:v>24000</x:v>
      </x:c>
      <x:c r="J358" s="30" t="n">
        <x:f>IF(N358="conditional","",SUMIFS($F$5:$F$394,$A$5:$A$394,A358,$C$5:$C$394,C358,$D$5:$D$394,"&lt;="&amp;D358)+SUMIF(Towers!$A$5:$A$30,A358,Towers!$E$5:$E$30))</x:f>
        <x:v>30950</x:v>
      </x:c>
      <x:c r="K358" s="30" t="n">
        <x:v>20000</x:v>
      </x:c>
      <x:c r="L358" s="25" t="str">
        <x:v>support</x:v>
      </x:c>
      <x:c r="M358" s="25" t="str">
        <x:v>Adds a temporary attack-speed and pierce buff ability.</x:v>
      </x:c>
      <x:c r="N358" s="25" t="str">
        <x:v>fixed_upgrade_price</x:v>
      </x:c>
      <x:c r="O358" s="30" t="n">
        <x:v>20000</x:v>
      </x:c>
      <x:c r="P358" s="25" t="str">
        <x:v>https://raw.githubusercontent.com/Btd6ModHelper/btd6-game-data/main/Towers/MonkeyVillage/MonkeyVillage-040.json</x:v>
      </x:c>
      <x:c r="Q358" s="25" t="str">
        <x:v>https://raw.githubusercontent.com/hemisemidemipresent/cyberquincy/master/jsons/costs.json</x:v>
      </x:c>
      <x:c r="R358" s="25" t="str">
        <x:v>https://raw.githubusercontent.com/Btd6ModHelper/btd6-game-data/main/textTable.json</x:v>
      </x:c>
      <x:c r="S358" s="25" t="str">
        <x:v>https://www.bloonswiki.com/Monkey_Village_(BTD6)</x:v>
      </x:c>
      <x:c r="T358" s="25" t="str">
        <x:v>46.2</x:v>
      </x:c>
    </x:row>
    <x:row r="359" ht="64" customHeight="1">
      <x:c r="A359" s="25" t="str">
        <x:v>Monkey Village</x:v>
      </x:c>
      <x:c r="B359" s="80" t="str">
        <x:v>050</x:v>
      </x:c>
      <x:c r="C359" s="25" t="str">
        <x:v>middle</x:v>
      </x:c>
      <x:c r="D359" s="25" t="n">
        <x:v>5</x:v>
      </x:c>
      <x:c r="E359" s="25" t="str">
        <x:v>Homeland Defense</x:v>
      </x:c>
      <x:c r="F359" s="30" t="n">
        <x:v>40000</x:v>
      </x:c>
      <x:c r="G359" s="30" t="n">
        <x:f>IF(F359="","",FLOOR(INT(F359*'Price rules'!$B$5),'Price rules'!$B$9)+IF(MOD(INT(F359*'Price rules'!$B$5),'Price rules'!$B$9)&lt;'Price rules'!$B$10,0,'Price rules'!$B$9))</x:f>
        <x:v>34000</x:v>
      </x:c>
      <x:c r="H359" s="30" t="n">
        <x:f>IF(F359="","",FLOOR(INT(F359*'Price rules'!$B$7),'Price rules'!$B$9)+IF(MOD(INT(F359*'Price rules'!$B$7),'Price rules'!$B$9)&lt;'Price rules'!$B$10,0,'Price rules'!$B$9))</x:f>
        <x:v>43200</x:v>
      </x:c>
      <x:c r="I359" s="30" t="n">
        <x:f>IF(F359="","",FLOOR(INT(F359*'Price rules'!$B$8),'Price rules'!$B$9)+IF(MOD(INT(F359*'Price rules'!$B$8),'Price rules'!$B$9)&lt;'Price rules'!$B$10,0,'Price rules'!$B$9))</x:f>
        <x:v>48000</x:v>
      </x:c>
      <x:c r="J359" s="30" t="n">
        <x:f>IF(N359="conditional","",SUMIFS($F$5:$F$394,$A$5:$A$394,A359,$C$5:$C$394,C359,$D$5:$D$394,"&lt;="&amp;D359)+SUMIF(Towers!$A$5:$A$30,A359,Towers!$E$5:$E$30))</x:f>
        <x:v>70950</x:v>
      </x:c>
      <x:c r="K359" s="30" t="n">
        <x:v>30000</x:v>
      </x:c>
      <x:c r="L359" s="25" t="str">
        <x:v>support</x:v>
      </x:c>
      <x:c r="M359" s="25" t="str">
        <x:v>Upgrades the ability to a map-wide attack-speed and pierce buff.</x:v>
      </x:c>
      <x:c r="N359" s="25" t="str">
        <x:v>fixed_upgrade_price</x:v>
      </x:c>
      <x:c r="O359" s="30" t="n">
        <x:v>40000</x:v>
      </x:c>
      <x:c r="P359" s="25" t="str">
        <x:v>https://raw.githubusercontent.com/Btd6ModHelper/btd6-game-data/main/Towers/MonkeyVillage/MonkeyVillage-050.json</x:v>
      </x:c>
      <x:c r="Q359" s="25" t="str">
        <x:v>https://raw.githubusercontent.com/hemisemidemipresent/cyberquincy/master/jsons/costs.json</x:v>
      </x:c>
      <x:c r="R359" s="25" t="str">
        <x:v>https://raw.githubusercontent.com/Btd6ModHelper/btd6-game-data/main/textTable.json</x:v>
      </x:c>
      <x:c r="S359" s="25" t="str">
        <x:v>https://www.bloonswiki.com/Monkey_Village_(BTD6)</x:v>
      </x:c>
      <x:c r="T359" s="25" t="str">
        <x:v>46.2</x:v>
      </x:c>
    </x:row>
    <x:row r="360" ht="64" customHeight="1">
      <x:c r="A360" s="25" t="str">
        <x:v>Monkey Village</x:v>
      </x:c>
      <x:c r="B360" s="80" t="str">
        <x:v>001</x:v>
      </x:c>
      <x:c r="C360" s="25" t="str">
        <x:v>bottom</x:v>
      </x:c>
      <x:c r="D360" s="25" t="n">
        <x:v>1</x:v>
      </x:c>
      <x:c r="E360" s="25" t="str">
        <x:v>Monkey Business</x:v>
      </x:c>
      <x:c r="F360" s="30" t="n">
        <x:v>500</x:v>
      </x:c>
      <x:c r="G360" s="30" t="n">
        <x:f>IF(F360="","",FLOOR(INT(F360*'Price rules'!$B$5),'Price rules'!$B$9)+IF(MOD(INT(F360*'Price rules'!$B$5),'Price rules'!$B$9)&lt;'Price rules'!$B$10,0,'Price rules'!$B$9))</x:f>
        <x:v>425</x:v>
      </x:c>
      <x:c r="H360" s="30" t="n">
        <x:f>IF(F360="","",FLOOR(INT(F360*'Price rules'!$B$7),'Price rules'!$B$9)+IF(MOD(INT(F360*'Price rules'!$B$7),'Price rules'!$B$9)&lt;'Price rules'!$B$10,0,'Price rules'!$B$9))</x:f>
        <x:v>540</x:v>
      </x:c>
      <x:c r="I360" s="30" t="n">
        <x:f>IF(F360="","",FLOOR(INT(F360*'Price rules'!$B$8),'Price rules'!$B$9)+IF(MOD(INT(F360*'Price rules'!$B$8),'Price rules'!$B$9)&lt;'Price rules'!$B$10,0,'Price rules'!$B$9))</x:f>
        <x:v>600</x:v>
      </x:c>
      <x:c r="J360" s="30" t="n">
        <x:f>IF(N360="conditional","",SUMIFS($F$5:$F$394,$A$5:$A$394,A360,$C$5:$C$394,C360,$D$5:$D$394,"&lt;="&amp;D360)+SUMIF(Towers!$A$5:$A$30,A360,Towers!$E$5:$E$30))</x:f>
        <x:v>1700</x:v>
      </x:c>
      <x:c r="K360" s="30" t="n">
        <x:v>250</x:v>
      </x:c>
      <x:c r="L360" s="25" t="str">
        <x:v>support</x:v>
      </x:c>
      <x:c r="M360" s="25" t="str">
        <x:v>Discounts nearby tower placement and eligible early upgrades.</x:v>
      </x:c>
      <x:c r="N360" s="25" t="str">
        <x:v>fixed_upgrade_price</x:v>
      </x:c>
      <x:c r="O360" s="30" t="n">
        <x:v>500</x:v>
      </x:c>
      <x:c r="P360" s="25" t="str">
        <x:v>https://raw.githubusercontent.com/Btd6ModHelper/btd6-game-data/main/Towers/MonkeyVillage/MonkeyVillage-001.json</x:v>
      </x:c>
      <x:c r="Q360" s="25" t="str">
        <x:v>https://raw.githubusercontent.com/hemisemidemipresent/cyberquincy/master/jsons/costs.json</x:v>
      </x:c>
      <x:c r="R360" s="25" t="str">
        <x:v>https://raw.githubusercontent.com/Btd6ModHelper/btd6-game-data/main/textTable.json</x:v>
      </x:c>
      <x:c r="S360" s="25" t="str">
        <x:v>https://www.bloonswiki.com/Monkey_Village_(BTD6)</x:v>
      </x:c>
      <x:c r="T360" s="25" t="str">
        <x:v>46.2</x:v>
      </x:c>
    </x:row>
    <x:row r="361" ht="64" customHeight="1">
      <x:c r="A361" s="25" t="str">
        <x:v>Monkey Village</x:v>
      </x:c>
      <x:c r="B361" s="80" t="str">
        <x:v>002</x:v>
      </x:c>
      <x:c r="C361" s="25" t="str">
        <x:v>bottom</x:v>
      </x:c>
      <x:c r="D361" s="25" t="n">
        <x:v>2</x:v>
      </x:c>
      <x:c r="E361" s="25" t="str">
        <x:v>Monkey Commerce</x:v>
      </x:c>
      <x:c r="F361" s="30" t="n">
        <x:v>500</x:v>
      </x:c>
      <x:c r="G361" s="30" t="n">
        <x:f>IF(F361="","",FLOOR(INT(F361*'Price rules'!$B$5),'Price rules'!$B$9)+IF(MOD(INT(F361*'Price rules'!$B$5),'Price rules'!$B$9)&lt;'Price rules'!$B$10,0,'Price rules'!$B$9))</x:f>
        <x:v>425</x:v>
      </x:c>
      <x:c r="H361" s="30" t="n">
        <x:f>IF(F361="","",FLOOR(INT(F361*'Price rules'!$B$7),'Price rules'!$B$9)+IF(MOD(INT(F361*'Price rules'!$B$7),'Price rules'!$B$9)&lt;'Price rules'!$B$10,0,'Price rules'!$B$9))</x:f>
        <x:v>540</x:v>
      </x:c>
      <x:c r="I361" s="30" t="n">
        <x:f>IF(F361="","",FLOOR(INT(F361*'Price rules'!$B$8),'Price rules'!$B$9)+IF(MOD(INT(F361*'Price rules'!$B$8),'Price rules'!$B$9)&lt;'Price rules'!$B$10,0,'Price rules'!$B$9))</x:f>
        <x:v>600</x:v>
      </x:c>
      <x:c r="J361" s="30" t="n">
        <x:f>IF(N361="conditional","",SUMIFS($F$5:$F$394,$A$5:$A$394,A361,$C$5:$C$394,C361,$D$5:$D$394,"&lt;="&amp;D361)+SUMIF(Towers!$A$5:$A$30,A361,Towers!$E$5:$E$30))</x:f>
        <x:v>2200</x:v>
      </x:c>
      <x:c r="K361" s="30" t="n">
        <x:v>750</x:v>
      </x:c>
      <x:c r="L361" s="25" t="str">
        <x:v>support</x:v>
      </x:c>
      <x:c r="M361" s="25" t="str">
        <x:v>Improves discounts and permits limited stacking with other Villages.</x:v>
      </x:c>
      <x:c r="N361" s="25" t="str">
        <x:v>fixed_upgrade_price</x:v>
      </x:c>
      <x:c r="O361" s="30" t="n">
        <x:v>500</x:v>
      </x:c>
      <x:c r="P361" s="25" t="str">
        <x:v>https://raw.githubusercontent.com/Btd6ModHelper/btd6-game-data/main/Towers/MonkeyVillage/MonkeyVillage-002.json</x:v>
      </x:c>
      <x:c r="Q361" s="25" t="str">
        <x:v>https://raw.githubusercontent.com/hemisemidemipresent/cyberquincy/master/jsons/costs.json</x:v>
      </x:c>
      <x:c r="R361" s="25" t="str">
        <x:v>https://raw.githubusercontent.com/Btd6ModHelper/btd6-game-data/main/textTable.json</x:v>
      </x:c>
      <x:c r="S361" s="25" t="str">
        <x:v>https://www.bloonswiki.com/Monkey_Village_(BTD6)</x:v>
      </x:c>
      <x:c r="T361" s="25" t="str">
        <x:v>46.2</x:v>
      </x:c>
    </x:row>
    <x:row r="362" ht="64" customHeight="1">
      <x:c r="A362" s="25" t="str">
        <x:v>Monkey Village</x:v>
      </x:c>
      <x:c r="B362" s="80" t="str">
        <x:v>003</x:v>
      </x:c>
      <x:c r="C362" s="25" t="str">
        <x:v>bottom</x:v>
      </x:c>
      <x:c r="D362" s="25" t="n">
        <x:v>3</x:v>
      </x:c>
      <x:c r="E362" s="25" t="str">
        <x:v>Monkey Town</x:v>
      </x:c>
      <x:c r="F362" s="30" t="n">
        <x:v>10000</x:v>
      </x:c>
      <x:c r="G362" s="30" t="n">
        <x:f>IF(F362="","",FLOOR(INT(F362*'Price rules'!$B$5),'Price rules'!$B$9)+IF(MOD(INT(F362*'Price rules'!$B$5),'Price rules'!$B$9)&lt;'Price rules'!$B$10,0,'Price rules'!$B$9))</x:f>
        <x:v>8500</x:v>
      </x:c>
      <x:c r="H362" s="30" t="n">
        <x:f>IF(F362="","",FLOOR(INT(F362*'Price rules'!$B$7),'Price rules'!$B$9)+IF(MOD(INT(F362*'Price rules'!$B$7),'Price rules'!$B$9)&lt;'Price rules'!$B$10,0,'Price rules'!$B$9))</x:f>
        <x:v>10800</x:v>
      </x:c>
      <x:c r="I362" s="30" t="n">
        <x:f>IF(F362="","",FLOOR(INT(F362*'Price rules'!$B$8),'Price rules'!$B$9)+IF(MOD(INT(F362*'Price rules'!$B$8),'Price rules'!$B$9)&lt;'Price rules'!$B$10,0,'Price rules'!$B$9))</x:f>
        <x:v>12000</x:v>
      </x:c>
      <x:c r="J362" s="30" t="n">
        <x:f>IF(N362="conditional","",SUMIFS($F$5:$F$394,$A$5:$A$394,A362,$C$5:$C$394,C362,$D$5:$D$394,"&lt;="&amp;D362)+SUMIF(Towers!$A$5:$A$30,A362,Towers!$E$5:$E$30))</x:f>
        <x:v>12200</x:v>
      </x:c>
      <x:c r="K362" s="30" t="n">
        <x:v>3000</x:v>
      </x:c>
      <x:c r="L362" s="25" t="str">
        <x:v>economy</x:v>
      </x:c>
      <x:c r="M362" s="25" t="str">
        <x:v>Increases cash earned from pops by supported towers.</x:v>
      </x:c>
      <x:c r="N362" s="25" t="str">
        <x:v>fixed_upgrade_price</x:v>
      </x:c>
      <x:c r="O362" s="30" t="n">
        <x:v>10000</x:v>
      </x:c>
      <x:c r="P362" s="25" t="str">
        <x:v>https://raw.githubusercontent.com/Btd6ModHelper/btd6-game-data/main/Towers/MonkeyVillage/MonkeyVillage-003.json</x:v>
      </x:c>
      <x:c r="Q362" s="25" t="str">
        <x:v>https://raw.githubusercontent.com/hemisemidemipresent/cyberquincy/master/jsons/costs.json</x:v>
      </x:c>
      <x:c r="R362" s="25" t="str">
        <x:v>https://raw.githubusercontent.com/Btd6ModHelper/btd6-game-data/main/textTable.json</x:v>
      </x:c>
      <x:c r="S362" s="25" t="str">
        <x:v>https://www.bloonswiki.com/Monkey_Village_(BTD6)</x:v>
      </x:c>
      <x:c r="T362" s="25" t="str">
        <x:v>46.2</x:v>
      </x:c>
    </x:row>
    <x:row r="363" ht="64" customHeight="1">
      <x:c r="A363" s="25" t="str">
        <x:v>Monkey Village</x:v>
      </x:c>
      <x:c r="B363" s="80" t="str">
        <x:v>004</x:v>
      </x:c>
      <x:c r="C363" s="25" t="str">
        <x:v>bottom</x:v>
      </x:c>
      <x:c r="D363" s="25" t="n">
        <x:v>4</x:v>
      </x:c>
      <x:c r="E363" s="25" t="str">
        <x:v>Monkey City</x:v>
      </x:c>
      <x:c r="F363" s="30" t="n">
        <x:v>3000</x:v>
      </x:c>
      <x:c r="G363" s="30" t="n">
        <x:f>IF(F363="","",FLOOR(INT(F363*'Price rules'!$B$5),'Price rules'!$B$9)+IF(MOD(INT(F363*'Price rules'!$B$5),'Price rules'!$B$9)&lt;'Price rules'!$B$10,0,'Price rules'!$B$9))</x:f>
        <x:v>2550</x:v>
      </x:c>
      <x:c r="H363" s="30" t="n">
        <x:f>IF(F363="","",FLOOR(INT(F363*'Price rules'!$B$7),'Price rules'!$B$9)+IF(MOD(INT(F363*'Price rules'!$B$7),'Price rules'!$B$9)&lt;'Price rules'!$B$10,0,'Price rules'!$B$9))</x:f>
        <x:v>3240</x:v>
      </x:c>
      <x:c r="I363" s="30" t="n">
        <x:f>IF(F363="","",FLOOR(INT(F363*'Price rules'!$B$8),'Price rules'!$B$9)+IF(MOD(INT(F363*'Price rules'!$B$8),'Price rules'!$B$9)&lt;'Price rules'!$B$10,0,'Price rules'!$B$9))</x:f>
        <x:v>3600</x:v>
      </x:c>
      <x:c r="J363" s="30" t="n">
        <x:f>IF(N363="conditional","",SUMIFS($F$5:$F$394,$A$5:$A$394,A363,$C$5:$C$394,C363,$D$5:$D$394,"&lt;="&amp;D363)+SUMIF(Towers!$A$5:$A$30,A363,Towers!$E$5:$E$30))</x:f>
        <x:v>15200</x:v>
      </x:c>
      <x:c r="K363" s="30" t="n">
        <x:v>15500</x:v>
      </x:c>
      <x:c r="L363" s="25" t="str">
        <x:v>economy</x:v>
      </x:c>
      <x:c r="M363" s="25" t="str">
        <x:v>Improves range and income support and supplies a free Dart Monkey each round.</x:v>
      </x:c>
      <x:c r="N363" s="25" t="str">
        <x:v>fixed_upgrade_price</x:v>
      </x:c>
      <x:c r="O363" s="30" t="n">
        <x:v>3000</x:v>
      </x:c>
      <x:c r="P363" s="25" t="str">
        <x:v>https://raw.githubusercontent.com/Btd6ModHelper/btd6-game-data/main/Towers/MonkeyVillage/MonkeyVillage-004.json</x:v>
      </x:c>
      <x:c r="Q363" s="25" t="str">
        <x:v>https://raw.githubusercontent.com/hemisemidemipresent/cyberquincy/master/jsons/costs.json</x:v>
      </x:c>
      <x:c r="R363" s="25" t="str">
        <x:v>https://raw.githubusercontent.com/Btd6ModHelper/btd6-game-data/main/textTable.json</x:v>
      </x:c>
      <x:c r="S363" s="25" t="str">
        <x:v>https://www.bloonswiki.com/Monkey_Village_(BTD6)</x:v>
      </x:c>
      <x:c r="T363" s="25" t="str">
        <x:v>46.2</x:v>
      </x:c>
    </x:row>
    <x:row r="364" ht="64" customHeight="1">
      <x:c r="A364" s="25" t="str">
        <x:v>Monkey Village</x:v>
      </x:c>
      <x:c r="B364" s="80" t="str">
        <x:v>005</x:v>
      </x:c>
      <x:c r="C364" s="25" t="str">
        <x:v>bottom</x:v>
      </x:c>
      <x:c r="D364" s="25" t="n">
        <x:v>5</x:v>
      </x:c>
      <x:c r="E364" s="25" t="str">
        <x:v>Monkeyopolis</x:v>
      </x:c>
      <x:c r="F364" s="30"/>
      <x:c r="G364" s="30" t="str">
        <x:f>IF(F364="","",FLOOR(INT(F364*'Price rules'!$B$5),'Price rules'!$B$9)+IF(MOD(INT(F364*'Price rules'!$B$5),'Price rules'!$B$9)&lt;'Price rules'!$B$10,0,'Price rules'!$B$9))</x:f>
      </x:c>
      <x:c r="H364" s="30" t="str">
        <x:f>IF(F364="","",FLOOR(INT(F364*'Price rules'!$B$7),'Price rules'!$B$9)+IF(MOD(INT(F364*'Price rules'!$B$7),'Price rules'!$B$9)&lt;'Price rules'!$B$10,0,'Price rules'!$B$9))</x:f>
      </x:c>
      <x:c r="I364" s="30" t="str">
        <x:f>IF(F364="","",FLOOR(INT(F364*'Price rules'!$B$8),'Price rules'!$B$9)+IF(MOD(INT(F364*'Price rules'!$B$8),'Price rules'!$B$9)&lt;'Price rules'!$B$10,0,'Price rules'!$B$9))</x:f>
      </x:c>
      <x:c r="J364" s="30" t="str">
        <x:f>IF(N364="conditional","",SUMIFS($F$5:$F$394,$A$5:$A$394,A364,$C$5:$C$394,C364,$D$5:$D$394,"&lt;="&amp;D364)+SUMIF(Towers!$A$5:$A$30,A364,Towers!$E$5:$E$30))</x:f>
      </x:c>
      <x:c r="K364" s="30" t="n">
        <x:v>28000</x:v>
      </x:c>
      <x:c r="L364" s="25" t="str">
        <x:v>economy</x:v>
      </x:c>
      <x:c r="M364" s="25" t="str">
        <x:v>Consumes nearby Banana Farms and converts them into Village income; purchase price depends on the Farms absorbed.</x:v>
      </x:c>
      <x:c r="N364" s="25" t="str">
        <x:v>conditional</x:v>
      </x:c>
      <x:c r="O364" s="30" t="n">
        <x:v>5000</x:v>
      </x:c>
      <x:c r="P364" s="25" t="str">
        <x:v>https://raw.githubusercontent.com/Btd6ModHelper/btd6-game-data/main/Towers/MonkeyVillage/MonkeyVillage-005.json</x:v>
      </x:c>
      <x:c r="Q364" s="25" t="str">
        <x:v>https://raw.githubusercontent.com/hemisemidemipresent/cyberquincy/master/jsons/costs.json</x:v>
      </x:c>
      <x:c r="R364" s="25" t="str">
        <x:v>https://raw.githubusercontent.com/Btd6ModHelper/btd6-game-data/main/textTable.json</x:v>
      </x:c>
      <x:c r="S364" s="25" t="str">
        <x:v>https://www.bloonswiki.com/Monkey_Village_(BTD6)</x:v>
      </x:c>
      <x:c r="T364" s="25" t="str">
        <x:v>46.2</x:v>
      </x:c>
    </x:row>
    <x:row r="365" ht="64" customHeight="1">
      <x:c r="A365" s="25" t="str">
        <x:v>Engineer Monkey</x:v>
      </x:c>
      <x:c r="B365" s="80" t="str">
        <x:v>100</x:v>
      </x:c>
      <x:c r="C365" s="25" t="str">
        <x:v>top</x:v>
      </x:c>
      <x:c r="D365" s="25" t="n">
        <x:v>1</x:v>
      </x:c>
      <x:c r="E365" s="25" t="str">
        <x:v>Sentry Gun</x:v>
      </x:c>
      <x:c r="F365" s="30" t="n">
        <x:v>500</x:v>
      </x:c>
      <x:c r="G365" s="30" t="n">
        <x:f>IF(F365="","",FLOOR(INT(F365*'Price rules'!$B$5),'Price rules'!$B$9)+IF(MOD(INT(F365*'Price rules'!$B$5),'Price rules'!$B$9)&lt;'Price rules'!$B$10,0,'Price rules'!$B$9))</x:f>
        <x:v>425</x:v>
      </x:c>
      <x:c r="H365" s="30" t="n">
        <x:f>IF(F365="","",FLOOR(INT(F365*'Price rules'!$B$7),'Price rules'!$B$9)+IF(MOD(INT(F365*'Price rules'!$B$7),'Price rules'!$B$9)&lt;'Price rules'!$B$10,0,'Price rules'!$B$9))</x:f>
        <x:v>540</x:v>
      </x:c>
      <x:c r="I365" s="30" t="n">
        <x:f>IF(F365="","",FLOOR(INT(F365*'Price rules'!$B$8),'Price rules'!$B$9)+IF(MOD(INT(F365*'Price rules'!$B$8),'Price rules'!$B$9)&lt;'Price rules'!$B$10,0,'Price rules'!$B$9))</x:f>
        <x:v>600</x:v>
      </x:c>
      <x:c r="J365" s="30" t="n">
        <x:f>IF(N365="conditional","",SUMIFS($F$5:$F$394,$A$5:$A$394,A365,$C$5:$C$394,C365,$D$5:$D$394,"&lt;="&amp;D365)+SUMIF(Towers!$A$5:$A$30,A365,Towers!$E$5:$E$30))</x:f>
        <x:v>850</x:v>
      </x:c>
      <x:c r="K365" s="30" t="n">
        <x:v>160</x:v>
      </x:c>
      <x:c r="L365" s="25" t="str">
        <x:v>basic_dps</x:v>
      </x:c>
      <x:c r="M365" s="25" t="str">
        <x:v>Periodically deploys temporary attacking sentries.</x:v>
      </x:c>
      <x:c r="N365" s="25" t="str">
        <x:v>fixed_upgrade_price</x:v>
      </x:c>
      <x:c r="O365" s="30" t="n">
        <x:v>500</x:v>
      </x:c>
      <x:c r="P365" s="25" t="str">
        <x:v>https://raw.githubusercontent.com/Btd6ModHelper/btd6-game-data/main/Towers/EngineerMonkey/EngineerMonkey-100.json</x:v>
      </x:c>
      <x:c r="Q365" s="25" t="str">
        <x:v>https://raw.githubusercontent.com/hemisemidemipresent/cyberquincy/master/jsons/costs.json</x:v>
      </x:c>
      <x:c r="R365" s="25" t="str">
        <x:v>https://raw.githubusercontent.com/Btd6ModHelper/btd6-game-data/main/textTable.json</x:v>
      </x:c>
      <x:c r="S365" s="25" t="str">
        <x:v>https://www.bloonswiki.com/Engineer_Monkey_(BTD6)</x:v>
      </x:c>
      <x:c r="T365" s="25" t="str">
        <x:v>47.0</x:v>
      </x:c>
    </x:row>
    <x:row r="366" ht="64" customHeight="1">
      <x:c r="A366" s="25" t="str">
        <x:v>Engineer Monkey</x:v>
      </x:c>
      <x:c r="B366" s="80" t="str">
        <x:v>200</x:v>
      </x:c>
      <x:c r="C366" s="25" t="str">
        <x:v>top</x:v>
      </x:c>
      <x:c r="D366" s="25" t="n">
        <x:v>2</x:v>
      </x:c>
      <x:c r="E366" s="25" t="str">
        <x:v>Faster Engineering</x:v>
      </x:c>
      <x:c r="F366" s="30" t="n">
        <x:v>400</x:v>
      </x:c>
      <x:c r="G366" s="30" t="n">
        <x:f>IF(F366="","",FLOOR(INT(F366*'Price rules'!$B$5),'Price rules'!$B$9)+IF(MOD(INT(F366*'Price rules'!$B$5),'Price rules'!$B$9)&lt;'Price rules'!$B$10,0,'Price rules'!$B$9))</x:f>
        <x:v>340</x:v>
      </x:c>
      <x:c r="H366" s="30" t="n">
        <x:f>IF(F366="","",FLOOR(INT(F366*'Price rules'!$B$7),'Price rules'!$B$9)+IF(MOD(INT(F366*'Price rules'!$B$7),'Price rules'!$B$9)&lt;'Price rules'!$B$10,0,'Price rules'!$B$9))</x:f>
        <x:v>430</x:v>
      </x:c>
      <x:c r="I366" s="30" t="n">
        <x:f>IF(F366="","",FLOOR(INT(F366*'Price rules'!$B$8),'Price rules'!$B$9)+IF(MOD(INT(F366*'Price rules'!$B$8),'Price rules'!$B$9)&lt;'Price rules'!$B$10,0,'Price rules'!$B$9))</x:f>
        <x:v>480</x:v>
      </x:c>
      <x:c r="J366" s="30" t="n">
        <x:f>IF(N366="conditional","",SUMIFS($F$5:$F$394,$A$5:$A$394,A366,$C$5:$C$394,C366,$D$5:$D$394,"&lt;="&amp;D366)+SUMIF(Towers!$A$5:$A$30,A366,Towers!$E$5:$E$30))</x:f>
        <x:v>1250</x:v>
      </x:c>
      <x:c r="K366" s="30" t="n">
        <x:v>550</x:v>
      </x:c>
      <x:c r="L366" s="25" t="str">
        <x:v>basic_dps</x:v>
      </x:c>
      <x:c r="M366" s="25" t="str">
        <x:v>Increases the production speed of sentries, foam, and traps as applicable.</x:v>
      </x:c>
      <x:c r="N366" s="25" t="str">
        <x:v>fixed_upgrade_price</x:v>
      </x:c>
      <x:c r="O366" s="30" t="n">
        <x:v>400</x:v>
      </x:c>
      <x:c r="P366" s="25" t="str">
        <x:v>https://raw.githubusercontent.com/Btd6ModHelper/btd6-game-data/main/Towers/EngineerMonkey/EngineerMonkey-200.json</x:v>
      </x:c>
      <x:c r="Q366" s="25" t="str">
        <x:v>https://raw.githubusercontent.com/hemisemidemipresent/cyberquincy/master/jsons/costs.json</x:v>
      </x:c>
      <x:c r="R366" s="25" t="str">
        <x:v>https://raw.githubusercontent.com/Btd6ModHelper/btd6-game-data/main/textTable.json</x:v>
      </x:c>
      <x:c r="S366" s="25" t="str">
        <x:v>https://www.bloonswiki.com/Engineer_Monkey_(BTD6)</x:v>
      </x:c>
      <x:c r="T366" s="25" t="str">
        <x:v>47.0</x:v>
      </x:c>
    </x:row>
    <x:row r="367" ht="64" customHeight="1">
      <x:c r="A367" s="25" t="str">
        <x:v>Engineer Monkey</x:v>
      </x:c>
      <x:c r="B367" s="80" t="str">
        <x:v>300</x:v>
      </x:c>
      <x:c r="C367" s="25" t="str">
        <x:v>top</x:v>
      </x:c>
      <x:c r="D367" s="25" t="n">
        <x:v>3</x:v>
      </x:c>
      <x:c r="E367" s="25" t="str">
        <x:v>Sprockets</x:v>
      </x:c>
      <x:c r="F367" s="30" t="n">
        <x:v>575</x:v>
      </x:c>
      <x:c r="G367" s="30" t="n">
        <x:f>IF(F367="","",FLOOR(INT(F367*'Price rules'!$B$5),'Price rules'!$B$9)+IF(MOD(INT(F367*'Price rules'!$B$5),'Price rules'!$B$9)&lt;'Price rules'!$B$10,0,'Price rules'!$B$9))</x:f>
        <x:v>490</x:v>
      </x:c>
      <x:c r="H367" s="30" t="n">
        <x:f>IF(F367="","",FLOOR(INT(F367*'Price rules'!$B$7),'Price rules'!$B$9)+IF(MOD(INT(F367*'Price rules'!$B$7),'Price rules'!$B$9)&lt;'Price rules'!$B$10,0,'Price rules'!$B$9))</x:f>
        <x:v>620</x:v>
      </x:c>
      <x:c r="I367" s="30" t="n">
        <x:f>IF(F367="","",FLOOR(INT(F367*'Price rules'!$B$8),'Price rules'!$B$9)+IF(MOD(INT(F367*'Price rules'!$B$8),'Price rules'!$B$9)&lt;'Price rules'!$B$10,0,'Price rules'!$B$9))</x:f>
        <x:v>690</x:v>
      </x:c>
      <x:c r="J367" s="30" t="n">
        <x:f>IF(N367="conditional","",SUMIFS($F$5:$F$394,$A$5:$A$394,A367,$C$5:$C$394,C367,$D$5:$D$394,"&lt;="&amp;D367)+SUMIF(Towers!$A$5:$A$30,A367,Towers!$E$5:$E$30))</x:f>
        <x:v>1825</x:v>
      </x:c>
      <x:c r="K367" s="30" t="n">
        <x:v>1850</x:v>
      </x:c>
      <x:c r="L367" s="25" t="str">
        <x:v>summoner</x:v>
      </x:c>
      <x:c r="M367" s="25" t="str">
        <x:v>Increases the firing speed of the Engineer and sentries.</x:v>
      </x:c>
      <x:c r="N367" s="25" t="str">
        <x:v>fixed_upgrade_price</x:v>
      </x:c>
      <x:c r="O367" s="30" t="n">
        <x:v>575</x:v>
      </x:c>
      <x:c r="P367" s="25" t="str">
        <x:v>https://raw.githubusercontent.com/Btd6ModHelper/btd6-game-data/main/Towers/EngineerMonkey/EngineerMonkey-300.json</x:v>
      </x:c>
      <x:c r="Q367" s="25" t="str">
        <x:v>https://raw.githubusercontent.com/hemisemidemipresent/cyberquincy/master/jsons/costs.json</x:v>
      </x:c>
      <x:c r="R367" s="25" t="str">
        <x:v>https://raw.githubusercontent.com/Btd6ModHelper/btd6-game-data/main/textTable.json</x:v>
      </x:c>
      <x:c r="S367" s="25" t="str">
        <x:v>https://www.bloonswiki.com/Engineer_Monkey_(BTD6)</x:v>
      </x:c>
      <x:c r="T367" s="25" t="str">
        <x:v>47.0</x:v>
      </x:c>
    </x:row>
    <x:row r="368" ht="64" customHeight="1">
      <x:c r="A368" s="25" t="str">
        <x:v>Engineer Monkey</x:v>
      </x:c>
      <x:c r="B368" s="80" t="str">
        <x:v>400</x:v>
      </x:c>
      <x:c r="C368" s="25" t="str">
        <x:v>top</x:v>
      </x:c>
      <x:c r="D368" s="25" t="n">
        <x:v>4</x:v>
      </x:c>
      <x:c r="E368" s="25" t="str">
        <x:v>Sentry Expert</x:v>
      </x:c>
      <x:c r="F368" s="30" t="n">
        <x:v>2500</x:v>
      </x:c>
      <x:c r="G368" s="30" t="n">
        <x:f>IF(F368="","",FLOOR(INT(F368*'Price rules'!$B$5),'Price rules'!$B$9)+IF(MOD(INT(F368*'Price rules'!$B$5),'Price rules'!$B$9)&lt;'Price rules'!$B$10,0,'Price rules'!$B$9))</x:f>
        <x:v>2125</x:v>
      </x:c>
      <x:c r="H368" s="30" t="n">
        <x:f>IF(F368="","",FLOOR(INT(F368*'Price rules'!$B$7),'Price rules'!$B$9)+IF(MOD(INT(F368*'Price rules'!$B$7),'Price rules'!$B$9)&lt;'Price rules'!$B$10,0,'Price rules'!$B$9))</x:f>
        <x:v>2700</x:v>
      </x:c>
      <x:c r="I368" s="30" t="n">
        <x:f>IF(F368="","",FLOOR(INT(F368*'Price rules'!$B$8),'Price rules'!$B$9)+IF(MOD(INT(F368*'Price rules'!$B$8),'Price rules'!$B$9)&lt;'Price rules'!$B$10,0,'Price rules'!$B$9))</x:f>
        <x:v>3000</x:v>
      </x:c>
      <x:c r="J368" s="30" t="n">
        <x:f>IF(N368="conditional","",SUMIFS($F$5:$F$394,$A$5:$A$394,A368,$C$5:$C$394,C368,$D$5:$D$394,"&lt;="&amp;D368)+SUMIF(Towers!$A$5:$A$30,A368,Towers!$E$5:$E$30))</x:f>
        <x:v>4325</x:v>
      </x:c>
      <x:c r="K368" s="30" t="n">
        <x:v>9500</x:v>
      </x:c>
      <x:c r="L368" s="25" t="str">
        <x:v>summoner</x:v>
      </x:c>
      <x:c r="M368" s="25" t="str">
        <x:v>Produces several specialized sentry types.</x:v>
      </x:c>
      <x:c r="N368" s="25" t="str">
        <x:v>fixed_upgrade_price</x:v>
      </x:c>
      <x:c r="O368" s="30" t="n">
        <x:v>2500</x:v>
      </x:c>
      <x:c r="P368" s="25" t="str">
        <x:v>https://raw.githubusercontent.com/Btd6ModHelper/btd6-game-data/main/Towers/EngineerMonkey/EngineerMonkey-400.json</x:v>
      </x:c>
      <x:c r="Q368" s="25" t="str">
        <x:v>https://raw.githubusercontent.com/hemisemidemipresent/cyberquincy/master/jsons/costs.json</x:v>
      </x:c>
      <x:c r="R368" s="25" t="str">
        <x:v>https://raw.githubusercontent.com/Btd6ModHelper/btd6-game-data/main/textTable.json</x:v>
      </x:c>
      <x:c r="S368" s="25" t="str">
        <x:v>https://www.bloonswiki.com/Engineer_Monkey_(BTD6)</x:v>
      </x:c>
      <x:c r="T368" s="25" t="str">
        <x:v>47.0</x:v>
      </x:c>
    </x:row>
    <x:row r="369" ht="64" customHeight="1">
      <x:c r="A369" s="25" t="str">
        <x:v>Engineer Monkey</x:v>
      </x:c>
      <x:c r="B369" s="80" t="str">
        <x:v>500</x:v>
      </x:c>
      <x:c r="C369" s="25" t="str">
        <x:v>top</x:v>
      </x:c>
      <x:c r="D369" s="25" t="n">
        <x:v>5</x:v>
      </x:c>
      <x:c r="E369" s="25" t="str">
        <x:v>Sentry Champion</x:v>
      </x:c>
      <x:c r="F369" s="30" t="n">
        <x:v>32000</x:v>
      </x:c>
      <x:c r="G369" s="30" t="n">
        <x:f>IF(F369="","",FLOOR(INT(F369*'Price rules'!$B$5),'Price rules'!$B$9)+IF(MOD(INT(F369*'Price rules'!$B$5),'Price rules'!$B$9)&lt;'Price rules'!$B$10,0,'Price rules'!$B$9))</x:f>
        <x:v>27200</x:v>
      </x:c>
      <x:c r="H369" s="30" t="n">
        <x:f>IF(F369="","",FLOOR(INT(F369*'Price rules'!$B$7),'Price rules'!$B$9)+IF(MOD(INT(F369*'Price rules'!$B$7),'Price rules'!$B$9)&lt;'Price rules'!$B$10,0,'Price rules'!$B$9))</x:f>
        <x:v>34560</x:v>
      </x:c>
      <x:c r="I369" s="30" t="n">
        <x:f>IF(F369="","",FLOOR(INT(F369*'Price rules'!$B$8),'Price rules'!$B$9)+IF(MOD(INT(F369*'Price rules'!$B$8),'Price rules'!$B$9)&lt;'Price rules'!$B$10,0,'Price rules'!$B$9))</x:f>
        <x:v>38400</x:v>
      </x:c>
      <x:c r="J369" s="30" t="n">
        <x:f>IF(N369="conditional","",SUMIFS($F$5:$F$394,$A$5:$A$394,A369,$C$5:$C$394,C369,$D$5:$D$394,"&lt;="&amp;D369)+SUMIF(Towers!$A$5:$A$30,A369,Towers!$E$5:$E$30))</x:f>
        <x:v>36325</x:v>
      </x:c>
      <x:c r="K369" s="30" t="n">
        <x:v>30000</x:v>
      </x:c>
      <x:c r="L369" s="25" t="str">
        <x:v>summoner</x:v>
      </x:c>
      <x:c r="M369" s="25" t="str">
        <x:v>Produces stronger unstable sentries that explode when their deployment ends.</x:v>
      </x:c>
      <x:c r="N369" s="25" t="str">
        <x:v>fixed_upgrade_price</x:v>
      </x:c>
      <x:c r="O369" s="30" t="n">
        <x:v>32000</x:v>
      </x:c>
      <x:c r="P369" s="25" t="str">
        <x:v>https://raw.githubusercontent.com/Btd6ModHelper/btd6-game-data/main/Towers/EngineerMonkey/EngineerMonkey-500.json</x:v>
      </x:c>
      <x:c r="Q369" s="25" t="str">
        <x:v>https://raw.githubusercontent.com/hemisemidemipresent/cyberquincy/master/jsons/costs.json</x:v>
      </x:c>
      <x:c r="R369" s="25" t="str">
        <x:v>https://raw.githubusercontent.com/Btd6ModHelper/btd6-game-data/main/textTable.json</x:v>
      </x:c>
      <x:c r="S369" s="25" t="str">
        <x:v>https://www.bloonswiki.com/Engineer_Monkey_(BTD6)</x:v>
      </x:c>
      <x:c r="T369" s="25" t="str">
        <x:v>47.0</x:v>
      </x:c>
    </x:row>
    <x:row r="370" ht="64" customHeight="1">
      <x:c r="A370" s="25" t="str">
        <x:v>Engineer Monkey</x:v>
      </x:c>
      <x:c r="B370" s="80" t="str">
        <x:v>010</x:v>
      </x:c>
      <x:c r="C370" s="25" t="str">
        <x:v>middle</x:v>
      </x:c>
      <x:c r="D370" s="25" t="n">
        <x:v>1</x:v>
      </x:c>
      <x:c r="E370" s="25" t="str">
        <x:v>Larger Service Area</x:v>
      </x:c>
      <x:c r="F370" s="30" t="n">
        <x:v>250</x:v>
      </x:c>
      <x:c r="G370" s="30" t="n">
        <x:f>IF(F370="","",FLOOR(INT(F370*'Price rules'!$B$5),'Price rules'!$B$9)+IF(MOD(INT(F370*'Price rules'!$B$5),'Price rules'!$B$9)&lt;'Price rules'!$B$10,0,'Price rules'!$B$9))</x:f>
        <x:v>210</x:v>
      </x:c>
      <x:c r="H370" s="30" t="n">
        <x:f>IF(F370="","",FLOOR(INT(F370*'Price rules'!$B$7),'Price rules'!$B$9)+IF(MOD(INT(F370*'Price rules'!$B$7),'Price rules'!$B$9)&lt;'Price rules'!$B$10,0,'Price rules'!$B$9))</x:f>
        <x:v>270</x:v>
      </x:c>
      <x:c r="I370" s="30" t="n">
        <x:f>IF(F370="","",FLOOR(INT(F370*'Price rules'!$B$8),'Price rules'!$B$9)+IF(MOD(INT(F370*'Price rules'!$B$8),'Price rules'!$B$9)&lt;'Price rules'!$B$10,0,'Price rules'!$B$9))</x:f>
        <x:v>300</x:v>
      </x:c>
      <x:c r="J370" s="30" t="n">
        <x:f>IF(N370="conditional","",SUMIFS($F$5:$F$394,$A$5:$A$394,A370,$C$5:$C$394,C370,$D$5:$D$394,"&lt;="&amp;D370)+SUMIF(Towers!$A$5:$A$30,A370,Towers!$E$5:$E$30))</x:f>
        <x:v>600</x:v>
      </x:c>
      <x:c r="K370" s="30" t="n">
        <x:v>170</x:v>
      </x:c>
      <x:c r="L370" s="25" t="str">
        <x:v>basic_dps</x:v>
      </x:c>
      <x:c r="M370" s="25" t="str">
        <x:v>Increases attack and deployment range.</x:v>
      </x:c>
      <x:c r="N370" s="25" t="str">
        <x:v>fixed_upgrade_price</x:v>
      </x:c>
      <x:c r="O370" s="30" t="n">
        <x:v>250</x:v>
      </x:c>
      <x:c r="P370" s="25" t="str">
        <x:v>https://raw.githubusercontent.com/Btd6ModHelper/btd6-game-data/main/Towers/EngineerMonkey/EngineerMonkey-010.json</x:v>
      </x:c>
      <x:c r="Q370" s="25" t="str">
        <x:v>https://raw.githubusercontent.com/hemisemidemipresent/cyberquincy/master/jsons/costs.json</x:v>
      </x:c>
      <x:c r="R370" s="25" t="str">
        <x:v>https://raw.githubusercontent.com/Btd6ModHelper/btd6-game-data/main/textTable.json</x:v>
      </x:c>
      <x:c r="S370" s="25" t="str">
        <x:v>https://www.bloonswiki.com/Engineer_Monkey_(BTD6)</x:v>
      </x:c>
      <x:c r="T370" s="25" t="str">
        <x:v>47.0</x:v>
      </x:c>
    </x:row>
    <x:row r="371" ht="64" customHeight="1">
      <x:c r="A371" s="25" t="str">
        <x:v>Engineer Monkey</x:v>
      </x:c>
      <x:c r="B371" s="80" t="str">
        <x:v>020</x:v>
      </x:c>
      <x:c r="C371" s="25" t="str">
        <x:v>middle</x:v>
      </x:c>
      <x:c r="D371" s="25" t="n">
        <x:v>2</x:v>
      </x:c>
      <x:c r="E371" s="25" t="str">
        <x:v>Deconstruction</x:v>
      </x:c>
      <x:c r="F371" s="30" t="n">
        <x:v>350</x:v>
      </x:c>
      <x:c r="G371" s="30" t="n">
        <x:f>IF(F371="","",FLOOR(INT(F371*'Price rules'!$B$5),'Price rules'!$B$9)+IF(MOD(INT(F371*'Price rules'!$B$5),'Price rules'!$B$9)&lt;'Price rules'!$B$10,0,'Price rules'!$B$9))</x:f>
        <x:v>295</x:v>
      </x:c>
      <x:c r="H371" s="30" t="n">
        <x:f>IF(F371="","",FLOOR(INT(F371*'Price rules'!$B$7),'Price rules'!$B$9)+IF(MOD(INT(F371*'Price rules'!$B$7),'Price rules'!$B$9)&lt;'Price rules'!$B$10,0,'Price rules'!$B$9))</x:f>
        <x:v>380</x:v>
      </x:c>
      <x:c r="I371" s="30" t="n">
        <x:f>IF(F371="","",FLOOR(INT(F371*'Price rules'!$B$8),'Price rules'!$B$9)+IF(MOD(INT(F371*'Price rules'!$B$8),'Price rules'!$B$9)&lt;'Price rules'!$B$10,0,'Price rules'!$B$9))</x:f>
        <x:v>420</x:v>
      </x:c>
      <x:c r="J371" s="30" t="n">
        <x:f>IF(N371="conditional","",SUMIFS($F$5:$F$394,$A$5:$A$394,A371,$C$5:$C$394,C371,$D$5:$D$394,"&lt;="&amp;D371)+SUMIF(Towers!$A$5:$A$30,A371,Towers!$E$5:$E$30))</x:f>
        <x:v>950</x:v>
      </x:c>
      <x:c r="K371" s="30" t="n">
        <x:v>500</x:v>
      </x:c>
      <x:c r="L371" s="25" t="str">
        <x:v>basic_dps</x:v>
      </x:c>
      <x:c r="M371" s="25" t="str">
        <x:v>Adds damage against Fortified and MOAB-class targets.</x:v>
      </x:c>
      <x:c r="N371" s="25" t="str">
        <x:v>fixed_upgrade_price</x:v>
      </x:c>
      <x:c r="O371" s="30" t="n">
        <x:v>350</x:v>
      </x:c>
      <x:c r="P371" s="25" t="str">
        <x:v>https://raw.githubusercontent.com/Btd6ModHelper/btd6-game-data/main/Towers/EngineerMonkey/EngineerMonkey-020.json</x:v>
      </x:c>
      <x:c r="Q371" s="25" t="str">
        <x:v>https://raw.githubusercontent.com/hemisemidemipresent/cyberquincy/master/jsons/costs.json</x:v>
      </x:c>
      <x:c r="R371" s="25" t="str">
        <x:v>https://raw.githubusercontent.com/Btd6ModHelper/btd6-game-data/main/textTable.json</x:v>
      </x:c>
      <x:c r="S371" s="25" t="str">
        <x:v>https://www.bloonswiki.com/Engineer_Monkey_(BTD6)</x:v>
      </x:c>
      <x:c r="T371" s="25" t="str">
        <x:v>47.0</x:v>
      </x:c>
    </x:row>
    <x:row r="372" ht="64" customHeight="1">
      <x:c r="A372" s="25" t="str">
        <x:v>Engineer Monkey</x:v>
      </x:c>
      <x:c r="B372" s="80" t="str">
        <x:v>030</x:v>
      </x:c>
      <x:c r="C372" s="25" t="str">
        <x:v>middle</x:v>
      </x:c>
      <x:c r="D372" s="25" t="n">
        <x:v>3</x:v>
      </x:c>
      <x:c r="E372" s="25" t="str">
        <x:v>Cleansing Foam</x:v>
      </x:c>
      <x:c r="F372" s="30" t="n">
        <x:v>900</x:v>
      </x:c>
      <x:c r="G372" s="30" t="n">
        <x:f>IF(F372="","",FLOOR(INT(F372*'Price rules'!$B$5),'Price rules'!$B$9)+IF(MOD(INT(F372*'Price rules'!$B$5),'Price rules'!$B$9)&lt;'Price rules'!$B$10,0,'Price rules'!$B$9))</x:f>
        <x:v>765</x:v>
      </x:c>
      <x:c r="H372" s="30" t="n">
        <x:f>IF(F372="","",FLOOR(INT(F372*'Price rules'!$B$7),'Price rules'!$B$9)+IF(MOD(INT(F372*'Price rules'!$B$7),'Price rules'!$B$9)&lt;'Price rules'!$B$10,0,'Price rules'!$B$9))</x:f>
        <x:v>970</x:v>
      </x:c>
      <x:c r="I372" s="30" t="n">
        <x:f>IF(F372="","",FLOOR(INT(F372*'Price rules'!$B$8),'Price rules'!$B$9)+IF(MOD(INT(F372*'Price rules'!$B$8),'Price rules'!$B$9)&lt;'Price rules'!$B$10,0,'Price rules'!$B$9))</x:f>
        <x:v>1080</x:v>
      </x:c>
      <x:c r="J372" s="30" t="n">
        <x:f>IF(N372="conditional","",SUMIFS($F$5:$F$394,$A$5:$A$394,A372,$C$5:$C$394,C372,$D$5:$D$394,"&lt;="&amp;D372)+SUMIF(Towers!$A$5:$A$30,A372,Towers!$E$5:$E$30))</x:f>
        <x:v>1850</x:v>
      </x:c>
      <x:c r="K372" s="30" t="n">
        <x:v>2000</x:v>
      </x:c>
      <x:c r="L372" s="25" t="str">
        <x:v>support</x:v>
      </x:c>
      <x:c r="M372" s="25" t="str">
        <x:v>Places foam that removes Camo and Regrow and can destroy Lead layers.</x:v>
      </x:c>
      <x:c r="N372" s="25" t="str">
        <x:v>fixed_upgrade_price</x:v>
      </x:c>
      <x:c r="O372" s="30" t="n">
        <x:v>900</x:v>
      </x:c>
      <x:c r="P372" s="25" t="str">
        <x:v>https://raw.githubusercontent.com/Btd6ModHelper/btd6-game-data/main/Towers/EngineerMonkey/EngineerMonkey-030.json</x:v>
      </x:c>
      <x:c r="Q372" s="25" t="str">
        <x:v>https://raw.githubusercontent.com/hemisemidemipresent/cyberquincy/master/jsons/costs.json</x:v>
      </x:c>
      <x:c r="R372" s="25" t="str">
        <x:v>https://raw.githubusercontent.com/Btd6ModHelper/btd6-game-data/main/textTable.json</x:v>
      </x:c>
      <x:c r="S372" s="25" t="str">
        <x:v>https://www.bloonswiki.com/Engineer_Monkey_(BTD6)</x:v>
      </x:c>
      <x:c r="T372" s="25" t="str">
        <x:v>47.0</x:v>
      </x:c>
    </x:row>
    <x:row r="373" ht="64" customHeight="1">
      <x:c r="A373" s="25" t="str">
        <x:v>Engineer Monkey</x:v>
      </x:c>
      <x:c r="B373" s="80" t="str">
        <x:v>040</x:v>
      </x:c>
      <x:c r="C373" s="25" t="str">
        <x:v>middle</x:v>
      </x:c>
      <x:c r="D373" s="25" t="n">
        <x:v>4</x:v>
      </x:c>
      <x:c r="E373" s="25" t="str">
        <x:v>Overclock</x:v>
      </x:c>
      <x:c r="F373" s="30" t="n">
        <x:v>13500</x:v>
      </x:c>
      <x:c r="G373" s="30" t="n">
        <x:f>IF(F373="","",FLOOR(INT(F373*'Price rules'!$B$5),'Price rules'!$B$9)+IF(MOD(INT(F373*'Price rules'!$B$5),'Price rules'!$B$9)&lt;'Price rules'!$B$10,0,'Price rules'!$B$9))</x:f>
        <x:v>11475</x:v>
      </x:c>
      <x:c r="H373" s="30" t="n">
        <x:f>IF(F373="","",FLOOR(INT(F373*'Price rules'!$B$7),'Price rules'!$B$9)+IF(MOD(INT(F373*'Price rules'!$B$7),'Price rules'!$B$9)&lt;'Price rules'!$B$10,0,'Price rules'!$B$9))</x:f>
        <x:v>14580</x:v>
      </x:c>
      <x:c r="I373" s="30" t="n">
        <x:f>IF(F373="","",FLOOR(INT(F373*'Price rules'!$B$8),'Price rules'!$B$9)+IF(MOD(INT(F373*'Price rules'!$B$8),'Price rules'!$B$9)&lt;'Price rules'!$B$10,0,'Price rules'!$B$9))</x:f>
        <x:v>16200</x:v>
      </x:c>
      <x:c r="J373" s="30" t="n">
        <x:f>IF(N373="conditional","",SUMIFS($F$5:$F$394,$A$5:$A$394,A373,$C$5:$C$394,C373,$D$5:$D$394,"&lt;="&amp;D373)+SUMIF(Towers!$A$5:$A$30,A373,Towers!$E$5:$E$30))</x:f>
        <x:v>15350</x:v>
      </x:c>
      <x:c r="K373" s="30" t="n">
        <x:v>14000</x:v>
      </x:c>
      <x:c r="L373" s="25" t="str">
        <x:v>support</x:v>
      </x:c>
      <x:c r="M373" s="25" t="str">
        <x:v>Adds a targeted temporary attack-speed boost ability.</x:v>
      </x:c>
      <x:c r="N373" s="25" t="str">
        <x:v>fixed_upgrade_price</x:v>
      </x:c>
      <x:c r="O373" s="30" t="n">
        <x:v>13500</x:v>
      </x:c>
      <x:c r="P373" s="25" t="str">
        <x:v>https://raw.githubusercontent.com/Btd6ModHelper/btd6-game-data/main/Towers/EngineerMonkey/EngineerMonkey-040.json</x:v>
      </x:c>
      <x:c r="Q373" s="25" t="str">
        <x:v>https://raw.githubusercontent.com/hemisemidemipresent/cyberquincy/master/jsons/costs.json</x:v>
      </x:c>
      <x:c r="R373" s="25" t="str">
        <x:v>https://raw.githubusercontent.com/Btd6ModHelper/btd6-game-data/main/textTable.json</x:v>
      </x:c>
      <x:c r="S373" s="25" t="str">
        <x:v>https://www.bloonswiki.com/Engineer_Monkey_(BTD6)</x:v>
      </x:c>
      <x:c r="T373" s="25" t="str">
        <x:v>47.0</x:v>
      </x:c>
    </x:row>
    <x:row r="374" ht="64" customHeight="1">
      <x:c r="A374" s="25" t="str">
        <x:v>Engineer Monkey</x:v>
      </x:c>
      <x:c r="B374" s="80" t="str">
        <x:v>050</x:v>
      </x:c>
      <x:c r="C374" s="25" t="str">
        <x:v>middle</x:v>
      </x:c>
      <x:c r="D374" s="25" t="n">
        <x:v>5</x:v>
      </x:c>
      <x:c r="E374" s="25" t="str">
        <x:v>Ultraboost</x:v>
      </x:c>
      <x:c r="F374" s="30" t="n">
        <x:v>72000</x:v>
      </x:c>
      <x:c r="G374" s="30" t="n">
        <x:f>IF(F374="","",FLOOR(INT(F374*'Price rules'!$B$5),'Price rules'!$B$9)+IF(MOD(INT(F374*'Price rules'!$B$5),'Price rules'!$B$9)&lt;'Price rules'!$B$10,0,'Price rules'!$B$9))</x:f>
        <x:v>61200</x:v>
      </x:c>
      <x:c r="H374" s="30" t="n">
        <x:f>IF(F374="","",FLOOR(INT(F374*'Price rules'!$B$7),'Price rules'!$B$9)+IF(MOD(INT(F374*'Price rules'!$B$7),'Price rules'!$B$9)&lt;'Price rules'!$B$10,0,'Price rules'!$B$9))</x:f>
        <x:v>77760</x:v>
      </x:c>
      <x:c r="I374" s="30" t="n">
        <x:f>IF(F374="","",FLOOR(INT(F374*'Price rules'!$B$8),'Price rules'!$B$9)+IF(MOD(INT(F374*'Price rules'!$B$8),'Price rules'!$B$9)&lt;'Price rules'!$B$10,0,'Price rules'!$B$9))</x:f>
        <x:v>86400</x:v>
      </x:c>
      <x:c r="J374" s="30" t="n">
        <x:f>IF(N374="conditional","",SUMIFS($F$5:$F$394,$A$5:$A$394,A374,$C$5:$C$394,C374,$D$5:$D$394,"&lt;="&amp;D374)+SUMIF(Towers!$A$5:$A$30,A374,Towers!$E$5:$E$30))</x:f>
        <x:v>87350</x:v>
      </x:c>
      <x:c r="K374" s="30" t="n">
        <x:v>35000</x:v>
      </x:c>
      <x:c r="L374" s="25" t="str">
        <x:v>support</x:v>
      </x:c>
      <x:c r="M374" s="25" t="str">
        <x:v>Adds a permanent stacking boost to the Overclock effect.</x:v>
      </x:c>
      <x:c r="N374" s="25" t="str">
        <x:v>fixed_upgrade_price</x:v>
      </x:c>
      <x:c r="O374" s="30" t="n">
        <x:v>72000</x:v>
      </x:c>
      <x:c r="P374" s="25" t="str">
        <x:v>https://raw.githubusercontent.com/Btd6ModHelper/btd6-game-data/main/Towers/EngineerMonkey/EngineerMonkey-050.json</x:v>
      </x:c>
      <x:c r="Q374" s="25" t="str">
        <x:v>https://raw.githubusercontent.com/hemisemidemipresent/cyberquincy/master/jsons/costs.json</x:v>
      </x:c>
      <x:c r="R374" s="25" t="str">
        <x:v>https://raw.githubusercontent.com/Btd6ModHelper/btd6-game-data/main/textTable.json</x:v>
      </x:c>
      <x:c r="S374" s="25" t="str">
        <x:v>https://www.bloonswiki.com/Engineer_Monkey_(BTD6)</x:v>
      </x:c>
      <x:c r="T374" s="25" t="str">
        <x:v>47.0</x:v>
      </x:c>
    </x:row>
    <x:row r="375" ht="64" customHeight="1">
      <x:c r="A375" s="25" t="str">
        <x:v>Engineer Monkey</x:v>
      </x:c>
      <x:c r="B375" s="80" t="str">
        <x:v>001</x:v>
      </x:c>
      <x:c r="C375" s="25" t="str">
        <x:v>bottom</x:v>
      </x:c>
      <x:c r="D375" s="25" t="n">
        <x:v>1</x:v>
      </x:c>
      <x:c r="E375" s="25" t="str">
        <x:v>Oversize Nails</x:v>
      </x:c>
      <x:c r="F375" s="30" t="n">
        <x:v>450</x:v>
      </x:c>
      <x:c r="G375" s="30" t="n">
        <x:f>IF(F375="","",FLOOR(INT(F375*'Price rules'!$B$5),'Price rules'!$B$9)+IF(MOD(INT(F375*'Price rules'!$B$5),'Price rules'!$B$9)&lt;'Price rules'!$B$10,0,'Price rules'!$B$9))</x:f>
        <x:v>380</x:v>
      </x:c>
      <x:c r="H375" s="30" t="n">
        <x:f>IF(F375="","",FLOOR(INT(F375*'Price rules'!$B$7),'Price rules'!$B$9)+IF(MOD(INT(F375*'Price rules'!$B$7),'Price rules'!$B$9)&lt;'Price rules'!$B$10,0,'Price rules'!$B$9))</x:f>
        <x:v>485</x:v>
      </x:c>
      <x:c r="I375" s="30" t="n">
        <x:f>IF(F375="","",FLOOR(INT(F375*'Price rules'!$B$8),'Price rules'!$B$9)+IF(MOD(INT(F375*'Price rules'!$B$8),'Price rules'!$B$9)&lt;'Price rules'!$B$10,0,'Price rules'!$B$9))</x:f>
        <x:v>540</x:v>
      </x:c>
      <x:c r="J375" s="30" t="n">
        <x:f>IF(N375="conditional","",SUMIFS($F$5:$F$394,$A$5:$A$394,A375,$C$5:$C$394,C375,$D$5:$D$394,"&lt;="&amp;D375)+SUMIF(Towers!$A$5:$A$30,A375,Towers!$E$5:$E$30))</x:f>
        <x:v>800</x:v>
      </x:c>
      <x:c r="K375" s="30" t="n">
        <x:v>150</x:v>
      </x:c>
      <x:c r="L375" s="25" t="str">
        <x:v>basic_dps</x:v>
      </x:c>
      <x:c r="M375" s="25" t="str">
        <x:v>Increases nail pierce and allows Frozen popping; improves compatible secondary attacks.</x:v>
      </x:c>
      <x:c r="N375" s="25" t="str">
        <x:v>fixed_upgrade_price</x:v>
      </x:c>
      <x:c r="O375" s="30" t="n">
        <x:v>450</x:v>
      </x:c>
      <x:c r="P375" s="25" t="str">
        <x:v>https://raw.githubusercontent.com/Btd6ModHelper/btd6-game-data/main/Towers/EngineerMonkey/EngineerMonkey-001.json</x:v>
      </x:c>
      <x:c r="Q375" s="25" t="str">
        <x:v>https://raw.githubusercontent.com/hemisemidemipresent/cyberquincy/master/jsons/costs.json</x:v>
      </x:c>
      <x:c r="R375" s="25" t="str">
        <x:v>https://raw.githubusercontent.com/Btd6ModHelper/btd6-game-data/main/textTable.json</x:v>
      </x:c>
      <x:c r="S375" s="25" t="str">
        <x:v>https://www.bloonswiki.com/Engineer_Monkey_(BTD6)</x:v>
      </x:c>
      <x:c r="T375" s="25" t="str">
        <x:v>47.0</x:v>
      </x:c>
    </x:row>
    <x:row r="376" ht="64" customHeight="1">
      <x:c r="A376" s="25" t="str">
        <x:v>Engineer Monkey</x:v>
      </x:c>
      <x:c r="B376" s="80" t="str">
        <x:v>002</x:v>
      </x:c>
      <x:c r="C376" s="25" t="str">
        <x:v>bottom</x:v>
      </x:c>
      <x:c r="D376" s="25" t="n">
        <x:v>2</x:v>
      </x:c>
      <x:c r="E376" s="25" t="str">
        <x:v>Pin</x:v>
      </x:c>
      <x:c r="F376" s="30" t="n">
        <x:v>220</x:v>
      </x:c>
      <x:c r="G376" s="30" t="n">
        <x:f>IF(F376="","",FLOOR(INT(F376*'Price rules'!$B$5),'Price rules'!$B$9)+IF(MOD(INT(F376*'Price rules'!$B$5),'Price rules'!$B$9)&lt;'Price rules'!$B$10,0,'Price rules'!$B$9))</x:f>
        <x:v>185</x:v>
      </x:c>
      <x:c r="H376" s="30" t="n">
        <x:f>IF(F376="","",FLOOR(INT(F376*'Price rules'!$B$7),'Price rules'!$B$9)+IF(MOD(INT(F376*'Price rules'!$B$7),'Price rules'!$B$9)&lt;'Price rules'!$B$10,0,'Price rules'!$B$9))</x:f>
        <x:v>235</x:v>
      </x:c>
      <x:c r="I376" s="30" t="n">
        <x:f>IF(F376="","",FLOOR(INT(F376*'Price rules'!$B$8),'Price rules'!$B$9)+IF(MOD(INT(F376*'Price rules'!$B$8),'Price rules'!$B$9)&lt;'Price rules'!$B$10,0,'Price rules'!$B$9))</x:f>
        <x:v>265</x:v>
      </x:c>
      <x:c r="J376" s="30" t="n">
        <x:f>IF(N376="conditional","",SUMIFS($F$5:$F$394,$A$5:$A$394,A376,$C$5:$C$394,C376,$D$5:$D$394,"&lt;="&amp;D376)+SUMIF(Towers!$A$5:$A$30,A376,Towers!$E$5:$E$30))</x:f>
        <x:v>1020</x:v>
      </x:c>
      <x:c r="K376" s="30" t="n">
        <x:v>500</x:v>
      </x:c>
      <x:c r="L376" s="25" t="str">
        <x:v>basic_dps</x:v>
      </x:c>
      <x:c r="M376" s="25" t="str">
        <x:v>Nails can temporarily immobilize ordinary Bloons.</x:v>
      </x:c>
      <x:c r="N376" s="25" t="str">
        <x:v>fixed_upgrade_price</x:v>
      </x:c>
      <x:c r="O376" s="30" t="n">
        <x:v>220</x:v>
      </x:c>
      <x:c r="P376" s="25" t="str">
        <x:v>https://raw.githubusercontent.com/Btd6ModHelper/btd6-game-data/main/Towers/EngineerMonkey/EngineerMonkey-002.json</x:v>
      </x:c>
      <x:c r="Q376" s="25" t="str">
        <x:v>https://raw.githubusercontent.com/hemisemidemipresent/cyberquincy/master/jsons/costs.json</x:v>
      </x:c>
      <x:c r="R376" s="25" t="str">
        <x:v>https://raw.githubusercontent.com/Btd6ModHelper/btd6-game-data/main/textTable.json</x:v>
      </x:c>
      <x:c r="S376" s="25" t="str">
        <x:v>https://www.bloonswiki.com/Engineer_Monkey_(BTD6)</x:v>
      </x:c>
      <x:c r="T376" s="25" t="str">
        <x:v>47.0</x:v>
      </x:c>
    </x:row>
    <x:row r="377" ht="64" customHeight="1">
      <x:c r="A377" s="25" t="str">
        <x:v>Engineer Monkey</x:v>
      </x:c>
      <x:c r="B377" s="80" t="str">
        <x:v>003</x:v>
      </x:c>
      <x:c r="C377" s="25" t="str">
        <x:v>bottom</x:v>
      </x:c>
      <x:c r="D377" s="25" t="n">
        <x:v>3</x:v>
      </x:c>
      <x:c r="E377" s="25" t="str">
        <x:v>Double Gun</x:v>
      </x:c>
      <x:c r="F377" s="30" t="n">
        <x:v>450</x:v>
      </x:c>
      <x:c r="G377" s="30" t="n">
        <x:f>IF(F377="","",FLOOR(INT(F377*'Price rules'!$B$5),'Price rules'!$B$9)+IF(MOD(INT(F377*'Price rules'!$B$5),'Price rules'!$B$9)&lt;'Price rules'!$B$10,0,'Price rules'!$B$9))</x:f>
        <x:v>380</x:v>
      </x:c>
      <x:c r="H377" s="30" t="n">
        <x:f>IF(F377="","",FLOOR(INT(F377*'Price rules'!$B$7),'Price rules'!$B$9)+IF(MOD(INT(F377*'Price rules'!$B$7),'Price rules'!$B$9)&lt;'Price rules'!$B$10,0,'Price rules'!$B$9))</x:f>
        <x:v>485</x:v>
      </x:c>
      <x:c r="I377" s="30" t="n">
        <x:f>IF(F377="","",FLOOR(INT(F377*'Price rules'!$B$8),'Price rules'!$B$9)+IF(MOD(INT(F377*'Price rules'!$B$8),'Price rules'!$B$9)&lt;'Price rules'!$B$10,0,'Price rules'!$B$9))</x:f>
        <x:v>540</x:v>
      </x:c>
      <x:c r="J377" s="30" t="n">
        <x:f>IF(N377="conditional","",SUMIFS($F$5:$F$394,$A$5:$A$394,A377,$C$5:$C$394,C377,$D$5:$D$394,"&lt;="&amp;D377)+SUMIF(Towers!$A$5:$A$30,A377,Towers!$E$5:$E$30))</x:f>
        <x:v>1470</x:v>
      </x:c>
      <x:c r="K377" s="30" t="n">
        <x:v>1800</x:v>
      </x:c>
      <x:c r="L377" s="25" t="str">
        <x:v>basic_dps</x:v>
      </x:c>
      <x:c r="M377" s="25" t="str">
        <x:v>Adds a second nail gun.</x:v>
      </x:c>
      <x:c r="N377" s="25" t="str">
        <x:v>fixed_upgrade_price</x:v>
      </x:c>
      <x:c r="O377" s="30" t="n">
        <x:v>450</x:v>
      </x:c>
      <x:c r="P377" s="25" t="str">
        <x:v>https://raw.githubusercontent.com/Btd6ModHelper/btd6-game-data/main/Towers/EngineerMonkey/EngineerMonkey-003.json</x:v>
      </x:c>
      <x:c r="Q377" s="25" t="str">
        <x:v>https://raw.githubusercontent.com/hemisemidemipresent/cyberquincy/master/jsons/costs.json</x:v>
      </x:c>
      <x:c r="R377" s="25" t="str">
        <x:v>https://raw.githubusercontent.com/Btd6ModHelper/btd6-game-data/main/textTable.json</x:v>
      </x:c>
      <x:c r="S377" s="25" t="str">
        <x:v>https://www.bloonswiki.com/Engineer_Monkey_(BTD6)</x:v>
      </x:c>
      <x:c r="T377" s="25" t="str">
        <x:v>47.0</x:v>
      </x:c>
    </x:row>
    <x:row r="378" ht="64" customHeight="1">
      <x:c r="A378" s="25" t="str">
        <x:v>Engineer Monkey</x:v>
      </x:c>
      <x:c r="B378" s="80" t="str">
        <x:v>004</x:v>
      </x:c>
      <x:c r="C378" s="25" t="str">
        <x:v>bottom</x:v>
      </x:c>
      <x:c r="D378" s="25" t="n">
        <x:v>4</x:v>
      </x:c>
      <x:c r="E378" s="25" t="str">
        <x:v>Bloon Trap</x:v>
      </x:c>
      <x:c r="F378" s="30" t="n">
        <x:v>3600</x:v>
      </x:c>
      <x:c r="G378" s="30" t="n">
        <x:f>IF(F378="","",FLOOR(INT(F378*'Price rules'!$B$5),'Price rules'!$B$9)+IF(MOD(INT(F378*'Price rules'!$B$5),'Price rules'!$B$9)&lt;'Price rules'!$B$10,0,'Price rules'!$B$9))</x:f>
        <x:v>3060</x:v>
      </x:c>
      <x:c r="H378" s="30" t="n">
        <x:f>IF(F378="","",FLOOR(INT(F378*'Price rules'!$B$7),'Price rules'!$B$9)+IF(MOD(INT(F378*'Price rules'!$B$7),'Price rules'!$B$9)&lt;'Price rules'!$B$10,0,'Price rules'!$B$9))</x:f>
        <x:v>3890</x:v>
      </x:c>
      <x:c r="I378" s="30" t="n">
        <x:f>IF(F378="","",FLOOR(INT(F378*'Price rules'!$B$8),'Price rules'!$B$9)+IF(MOD(INT(F378*'Price rules'!$B$8),'Price rules'!$B$9)&lt;'Price rules'!$B$10,0,'Price rules'!$B$9))</x:f>
        <x:v>4320</x:v>
      </x:c>
      <x:c r="J378" s="30" t="n">
        <x:f>IF(N378="conditional","",SUMIFS($F$5:$F$394,$A$5:$A$394,A378,$C$5:$C$394,C378,$D$5:$D$394,"&lt;="&amp;D378)+SUMIF(Towers!$A$5:$A$30,A378,Towers!$E$5:$E$30))</x:f>
        <x:v>5070</x:v>
      </x:c>
      <x:c r="K378" s="30" t="n">
        <x:v>11000</x:v>
      </x:c>
      <x:c r="L378" s="25" t="str">
        <x:v>economy</x:v>
      </x:c>
      <x:c r="M378" s="25" t="str">
        <x:v>Deploys a trap that captures ordinary Bloons and pays cash when collected.</x:v>
      </x:c>
      <x:c r="N378" s="25" t="str">
        <x:v>fixed_upgrade_price</x:v>
      </x:c>
      <x:c r="O378" s="30" t="n">
        <x:v>3600</x:v>
      </x:c>
      <x:c r="P378" s="25" t="str">
        <x:v>https://raw.githubusercontent.com/Btd6ModHelper/btd6-game-data/main/Towers/EngineerMonkey/EngineerMonkey-004.json</x:v>
      </x:c>
      <x:c r="Q378" s="25" t="str">
        <x:v>https://raw.githubusercontent.com/hemisemidemipresent/cyberquincy/master/jsons/costs.json</x:v>
      </x:c>
      <x:c r="R378" s="25" t="str">
        <x:v>https://raw.githubusercontent.com/Btd6ModHelper/btd6-game-data/main/textTable.json</x:v>
      </x:c>
      <x:c r="S378" s="25" t="str">
        <x:v>https://www.bloonswiki.com/Engineer_Monkey_(BTD6)</x:v>
      </x:c>
      <x:c r="T378" s="25" t="str">
        <x:v>47.0</x:v>
      </x:c>
    </x:row>
    <x:row r="379" ht="64" customHeight="1">
      <x:c r="A379" s="25" t="str">
        <x:v>Engineer Monkey</x:v>
      </x:c>
      <x:c r="B379" s="80" t="str">
        <x:v>005</x:v>
      </x:c>
      <x:c r="C379" s="25" t="str">
        <x:v>bottom</x:v>
      </x:c>
      <x:c r="D379" s="25" t="n">
        <x:v>5</x:v>
      </x:c>
      <x:c r="E379" s="25" t="str">
        <x:v>XXXL Trap</x:v>
      </x:c>
      <x:c r="F379" s="30" t="n">
        <x:v>45000</x:v>
      </x:c>
      <x:c r="G379" s="30" t="n">
        <x:f>IF(F379="","",FLOOR(INT(F379*'Price rules'!$B$5),'Price rules'!$B$9)+IF(MOD(INT(F379*'Price rules'!$B$5),'Price rules'!$B$9)&lt;'Price rules'!$B$10,0,'Price rules'!$B$9))</x:f>
        <x:v>38250</x:v>
      </x:c>
      <x:c r="H379" s="30" t="n">
        <x:f>IF(F379="","",FLOOR(INT(F379*'Price rules'!$B$7),'Price rules'!$B$9)+IF(MOD(INT(F379*'Price rules'!$B$7),'Price rules'!$B$9)&lt;'Price rules'!$B$10,0,'Price rules'!$B$9))</x:f>
        <x:v>48600</x:v>
      </x:c>
      <x:c r="I379" s="30" t="n">
        <x:f>IF(F379="","",FLOOR(INT(F379*'Price rules'!$B$8),'Price rules'!$B$9)+IF(MOD(INT(F379*'Price rules'!$B$8),'Price rules'!$B$9)&lt;'Price rules'!$B$10,0,'Price rules'!$B$9))</x:f>
        <x:v>54000</x:v>
      </x:c>
      <x:c r="J379" s="30" t="n">
        <x:f>IF(N379="conditional","",SUMIFS($F$5:$F$394,$A$5:$A$394,A379,$C$5:$C$394,C379,$D$5:$D$394,"&lt;="&amp;D379)+SUMIF(Towers!$A$5:$A$30,A379,Towers!$E$5:$E$30))</x:f>
        <x:v>50070</x:v>
      </x:c>
      <x:c r="K379" s="30" t="n">
        <x:v>40000</x:v>
      </x:c>
      <x:c r="L379" s="25" t="str">
        <x:v>economy</x:v>
      </x:c>
      <x:c r="M379" s="25" t="str">
        <x:v>Deploys larger traps that can capture eligible MOAB-class targets.</x:v>
      </x:c>
      <x:c r="N379" s="25" t="str">
        <x:v>fixed_upgrade_price</x:v>
      </x:c>
      <x:c r="O379" s="30" t="n">
        <x:v>45000</x:v>
      </x:c>
      <x:c r="P379" s="25" t="str">
        <x:v>https://raw.githubusercontent.com/Btd6ModHelper/btd6-game-data/main/Towers/EngineerMonkey/EngineerMonkey-005.json</x:v>
      </x:c>
      <x:c r="Q379" s="25" t="str">
        <x:v>https://raw.githubusercontent.com/hemisemidemipresent/cyberquincy/master/jsons/costs.json</x:v>
      </x:c>
      <x:c r="R379" s="25" t="str">
        <x:v>https://raw.githubusercontent.com/Btd6ModHelper/btd6-game-data/main/textTable.json</x:v>
      </x:c>
      <x:c r="S379" s="25" t="str">
        <x:v>https://www.bloonswiki.com/Engineer_Monkey_(BTD6)</x:v>
      </x:c>
      <x:c r="T379" s="25" t="str">
        <x:v>47.0</x:v>
      </x:c>
    </x:row>
    <x:row r="380" ht="64" customHeight="1">
      <x:c r="A380" s="25" t="str">
        <x:v>Beast Handler</x:v>
      </x:c>
      <x:c r="B380" s="80" t="str">
        <x:v>100</x:v>
      </x:c>
      <x:c r="C380" s="25" t="str">
        <x:v>top</x:v>
      </x:c>
      <x:c r="D380" s="25" t="n">
        <x:v>1</x:v>
      </x:c>
      <x:c r="E380" s="25" t="str">
        <x:v>Piranha</x:v>
      </x:c>
      <x:c r="F380" s="30" t="n">
        <x:v>160</x:v>
      </x:c>
      <x:c r="G380" s="30" t="n">
        <x:f>IF(F380="","",FLOOR(INT(F380*'Price rules'!$B$5),'Price rules'!$B$9)+IF(MOD(INT(F380*'Price rules'!$B$5),'Price rules'!$B$9)&lt;'Price rules'!$B$10,0,'Price rules'!$B$9))</x:f>
        <x:v>135</x:v>
      </x:c>
      <x:c r="H380" s="30" t="n">
        <x:f>IF(F380="","",FLOOR(INT(F380*'Price rules'!$B$7),'Price rules'!$B$9)+IF(MOD(INT(F380*'Price rules'!$B$7),'Price rules'!$B$9)&lt;'Price rules'!$B$10,0,'Price rules'!$B$9))</x:f>
        <x:v>170</x:v>
      </x:c>
      <x:c r="I380" s="30" t="n">
        <x:f>IF(F380="","",FLOOR(INT(F380*'Price rules'!$B$8),'Price rules'!$B$9)+IF(MOD(INT(F380*'Price rules'!$B$8),'Price rules'!$B$9)&lt;'Price rules'!$B$10,0,'Price rules'!$B$9))</x:f>
        <x:v>190</x:v>
      </x:c>
      <x:c r="J380" s="30" t="n">
        <x:f>IF(N380="conditional","",SUMIFS($F$5:$F$394,$A$5:$A$394,A380,$C$5:$C$394,C380,$D$5:$D$394,"&lt;="&amp;D380)+SUMIF(Towers!$A$5:$A$30,A380,Towers!$E$5:$E$30))</x:f>
        <x:v>410</x:v>
      </x:c>
      <x:c r="K380" s="30" t="n">
        <x:v>250</x:v>
      </x:c>
      <x:c r="L380" s="25" t="str">
        <x:v>basic_dps</x:v>
      </x:c>
      <x:c r="M380" s="25" t="str">
        <x:v>Commands an aquatic beast; requires nearby water.</x:v>
      </x:c>
      <x:c r="N380" s="25" t="str">
        <x:v>fixed_upgrade_price</x:v>
      </x:c>
      <x:c r="O380" s="30" t="n">
        <x:v>160</x:v>
      </x:c>
      <x:c r="P380" s="25" t="str">
        <x:v>https://raw.githubusercontent.com/Btd6ModHelper/btd6-game-data/main/Towers/BeastHandler/BeastHandler-100.json</x:v>
      </x:c>
      <x:c r="Q380" s="25" t="str">
        <x:v>https://raw.githubusercontent.com/hemisemidemipresent/cyberquincy/master/jsons/costs.json</x:v>
      </x:c>
      <x:c r="R380" s="25" t="str">
        <x:v>https://raw.githubusercontent.com/Btd6ModHelper/btd6-game-data/main/textTable.json</x:v>
      </x:c>
      <x:c r="S380" s="25" t="str">
        <x:v>https://www.bloonswiki.com/Beast_Handler_(BTD6)</x:v>
      </x:c>
      <x:c r="T380" s="25" t="str">
        <x:v>46.0</x:v>
      </x:c>
    </x:row>
    <x:row r="381" ht="64" customHeight="1">
      <x:c r="A381" s="25" t="str">
        <x:v>Beast Handler</x:v>
      </x:c>
      <x:c r="B381" s="80" t="str">
        <x:v>200</x:v>
      </x:c>
      <x:c r="C381" s="25" t="str">
        <x:v>top</x:v>
      </x:c>
      <x:c r="D381" s="25" t="n">
        <x:v>2</x:v>
      </x:c>
      <x:c r="E381" s="25" t="str">
        <x:v>Barracuda</x:v>
      </x:c>
      <x:c r="F381" s="30" t="n">
        <x:v>810</x:v>
      </x:c>
      <x:c r="G381" s="30" t="n">
        <x:f>IF(F381="","",FLOOR(INT(F381*'Price rules'!$B$5),'Price rules'!$B$9)+IF(MOD(INT(F381*'Price rules'!$B$5),'Price rules'!$B$9)&lt;'Price rules'!$B$10,0,'Price rules'!$B$9))</x:f>
        <x:v>690</x:v>
      </x:c>
      <x:c r="H381" s="30" t="n">
        <x:f>IF(F381="","",FLOOR(INT(F381*'Price rules'!$B$7),'Price rules'!$B$9)+IF(MOD(INT(F381*'Price rules'!$B$7),'Price rules'!$B$9)&lt;'Price rules'!$B$10,0,'Price rules'!$B$9))</x:f>
        <x:v>875</x:v>
      </x:c>
      <x:c r="I381" s="30" t="n">
        <x:f>IF(F381="","",FLOOR(INT(F381*'Price rules'!$B$8),'Price rules'!$B$9)+IF(MOD(INT(F381*'Price rules'!$B$8),'Price rules'!$B$9)&lt;'Price rules'!$B$10,0,'Price rules'!$B$9))</x:f>
        <x:v>970</x:v>
      </x:c>
      <x:c r="J381" s="30" t="n">
        <x:f>IF(N381="conditional","",SUMIFS($F$5:$F$394,$A$5:$A$394,A381,$C$5:$C$394,C381,$D$5:$D$394,"&lt;="&amp;D381)+SUMIF(Towers!$A$5:$A$30,A381,Towers!$E$5:$E$30))</x:f>
        <x:v>1220</x:v>
      </x:c>
      <x:c r="K381" s="30" t="n">
        <x:v>500</x:v>
      </x:c>
      <x:c r="L381" s="25" t="str">
        <x:v>basic_dps</x:v>
      </x:c>
      <x:c r="M381" s="25" t="str">
        <x:v>Improves the aquatic beast and adds knockback.</x:v>
      </x:c>
      <x:c r="N381" s="25" t="str">
        <x:v>fixed_upgrade_price</x:v>
      </x:c>
      <x:c r="O381" s="30" t="n">
        <x:v>810</x:v>
      </x:c>
      <x:c r="P381" s="25" t="str">
        <x:v>https://raw.githubusercontent.com/Btd6ModHelper/btd6-game-data/main/Towers/BeastHandler/BeastHandler-200.json</x:v>
      </x:c>
      <x:c r="Q381" s="25" t="str">
        <x:v>https://raw.githubusercontent.com/hemisemidemipresent/cyberquincy/master/jsons/costs.json</x:v>
      </x:c>
      <x:c r="R381" s="25" t="str">
        <x:v>https://raw.githubusercontent.com/Btd6ModHelper/btd6-game-data/main/textTable.json</x:v>
      </x:c>
      <x:c r="S381" s="25" t="str">
        <x:v>https://www.bloonswiki.com/Beast_Handler_(BTD6)</x:v>
      </x:c>
      <x:c r="T381" s="25" t="str">
        <x:v>46.0</x:v>
      </x:c>
    </x:row>
    <x:row r="382" ht="64" customHeight="1">
      <x:c r="A382" s="25" t="str">
        <x:v>Beast Handler</x:v>
      </x:c>
      <x:c r="B382" s="80" t="str">
        <x:v>300</x:v>
      </x:c>
      <x:c r="C382" s="25" t="str">
        <x:v>top</x:v>
      </x:c>
      <x:c r="D382" s="25" t="n">
        <x:v>3</x:v>
      </x:c>
      <x:c r="E382" s="25" t="str">
        <x:v>Great White</x:v>
      </x:c>
      <x:c r="F382" s="30" t="n">
        <x:v>2010</x:v>
      </x:c>
      <x:c r="G382" s="30" t="n">
        <x:f>IF(F382="","",FLOOR(INT(F382*'Price rules'!$B$5),'Price rules'!$B$9)+IF(MOD(INT(F382*'Price rules'!$B$5),'Price rules'!$B$9)&lt;'Price rules'!$B$10,0,'Price rules'!$B$9))</x:f>
        <x:v>1710</x:v>
      </x:c>
      <x:c r="H382" s="30" t="n">
        <x:f>IF(F382="","",FLOOR(INT(F382*'Price rules'!$B$7),'Price rules'!$B$9)+IF(MOD(INT(F382*'Price rules'!$B$7),'Price rules'!$B$9)&lt;'Price rules'!$B$10,0,'Price rules'!$B$9))</x:f>
        <x:v>2170</x:v>
      </x:c>
      <x:c r="I382" s="30" t="n">
        <x:f>IF(F382="","",FLOOR(INT(F382*'Price rules'!$B$8),'Price rules'!$B$9)+IF(MOD(INT(F382*'Price rules'!$B$8),'Price rules'!$B$9)&lt;'Price rules'!$B$10,0,'Price rules'!$B$9))</x:f>
        <x:v>2410</x:v>
      </x:c>
      <x:c r="J382" s="30" t="n">
        <x:f>IF(N382="conditional","",SUMIFS($F$5:$F$394,$A$5:$A$394,A382,$C$5:$C$394,C382,$D$5:$D$394,"&lt;="&amp;D382)+SUMIF(Towers!$A$5:$A$30,A382,Towers!$E$5:$E$30))</x:f>
        <x:v>3230</x:v>
      </x:c>
      <x:c r="K382" s="30" t="n">
        <x:v>1000</x:v>
      </x:c>
      <x:c r="L382" s="25" t="str">
        <x:v>tank_killer</x:v>
      </x:c>
      <x:c r="M382" s="25" t="str">
        <x:v>Adds a stronger aquatic predator; sufficiently high Beast Power permits grabbing smaller MOAB-class targets.</x:v>
      </x:c>
      <x:c r="N382" s="25" t="str">
        <x:v>fixed_upgrade_price</x:v>
      </x:c>
      <x:c r="O382" s="30" t="n">
        <x:v>2010</x:v>
      </x:c>
      <x:c r="P382" s="25" t="str">
        <x:v>https://raw.githubusercontent.com/Btd6ModHelper/btd6-game-data/main/Towers/BeastHandler/BeastHandler-300.json</x:v>
      </x:c>
      <x:c r="Q382" s="25" t="str">
        <x:v>https://raw.githubusercontent.com/hemisemidemipresent/cyberquincy/master/jsons/costs.json</x:v>
      </x:c>
      <x:c r="R382" s="25" t="str">
        <x:v>https://raw.githubusercontent.com/Btd6ModHelper/btd6-game-data/main/textTable.json</x:v>
      </x:c>
      <x:c r="S382" s="25" t="str">
        <x:v>https://www.bloonswiki.com/Beast_Handler_(BTD6)</x:v>
      </x:c>
      <x:c r="T382" s="25" t="str">
        <x:v>46.0</x:v>
      </x:c>
    </x:row>
    <x:row r="383" ht="64" customHeight="1">
      <x:c r="A383" s="25" t="str">
        <x:v>Beast Handler</x:v>
      </x:c>
      <x:c r="B383" s="80" t="str">
        <x:v>400</x:v>
      </x:c>
      <x:c r="C383" s="25" t="str">
        <x:v>top</x:v>
      </x:c>
      <x:c r="D383" s="25" t="n">
        <x:v>4</x:v>
      </x:c>
      <x:c r="E383" s="25" t="str">
        <x:v>Orca</x:v>
      </x:c>
      <x:c r="F383" s="30" t="n">
        <x:v>12500</x:v>
      </x:c>
      <x:c r="G383" s="30" t="n">
        <x:f>IF(F383="","",FLOOR(INT(F383*'Price rules'!$B$5),'Price rules'!$B$9)+IF(MOD(INT(F383*'Price rules'!$B$5),'Price rules'!$B$9)&lt;'Price rules'!$B$10,0,'Price rules'!$B$9))</x:f>
        <x:v>10625</x:v>
      </x:c>
      <x:c r="H383" s="30" t="n">
        <x:f>IF(F383="","",FLOOR(INT(F383*'Price rules'!$B$7),'Price rules'!$B$9)+IF(MOD(INT(F383*'Price rules'!$B$7),'Price rules'!$B$9)&lt;'Price rules'!$B$10,0,'Price rules'!$B$9))</x:f>
        <x:v>13500</x:v>
      </x:c>
      <x:c r="I383" s="30" t="n">
        <x:f>IF(F383="","",FLOOR(INT(F383*'Price rules'!$B$8),'Price rules'!$B$9)+IF(MOD(INT(F383*'Price rules'!$B$8),'Price rules'!$B$9)&lt;'Price rules'!$B$10,0,'Price rules'!$B$9))</x:f>
        <x:v>15000</x:v>
      </x:c>
      <x:c r="J383" s="30" t="n">
        <x:f>IF(N383="conditional","",SUMIFS($F$5:$F$394,$A$5:$A$394,A383,$C$5:$C$394,C383,$D$5:$D$394,"&lt;="&amp;D383)+SUMIF(Towers!$A$5:$A$30,A383,Towers!$E$5:$E$30))</x:f>
        <x:v>15730</x:v>
      </x:c>
      <x:c r="K383" s="30" t="n">
        <x:v>4250</x:v>
      </x:c>
      <x:c r="L383" s="25" t="str">
        <x:v>tank_killer</x:v>
      </x:c>
      <x:c r="M383" s="25" t="str">
        <x:v>Adds a larger aquatic predator; its capabilities scale with Beast Power.</x:v>
      </x:c>
      <x:c r="N383" s="25" t="str">
        <x:v>fixed_upgrade_price</x:v>
      </x:c>
      <x:c r="O383" s="30" t="n">
        <x:v>12500</x:v>
      </x:c>
      <x:c r="P383" s="25" t="str">
        <x:v>https://raw.githubusercontent.com/Btd6ModHelper/btd6-game-data/main/Towers/BeastHandler/BeastHandler-400.json</x:v>
      </x:c>
      <x:c r="Q383" s="25" t="str">
        <x:v>https://raw.githubusercontent.com/hemisemidemipresent/cyberquincy/master/jsons/costs.json</x:v>
      </x:c>
      <x:c r="R383" s="25" t="str">
        <x:v>https://raw.githubusercontent.com/Btd6ModHelper/btd6-game-data/main/textTable.json</x:v>
      </x:c>
      <x:c r="S383" s="25" t="str">
        <x:v>https://www.bloonswiki.com/Beast_Handler_(BTD6)</x:v>
      </x:c>
      <x:c r="T383" s="25" t="str">
        <x:v>46.0</x:v>
      </x:c>
    </x:row>
    <x:row r="384" ht="64" customHeight="1">
      <x:c r="A384" s="25" t="str">
        <x:v>Beast Handler</x:v>
      </x:c>
      <x:c r="B384" s="80" t="str">
        <x:v>500</x:v>
      </x:c>
      <x:c r="C384" s="25" t="str">
        <x:v>top</x:v>
      </x:c>
      <x:c r="D384" s="25" t="n">
        <x:v>5</x:v>
      </x:c>
      <x:c r="E384" s="25" t="str">
        <x:v>Megalodon</x:v>
      </x:c>
      <x:c r="F384" s="30" t="n">
        <x:v>45000</x:v>
      </x:c>
      <x:c r="G384" s="30" t="n">
        <x:f>IF(F384="","",FLOOR(INT(F384*'Price rules'!$B$5),'Price rules'!$B$9)+IF(MOD(INT(F384*'Price rules'!$B$5),'Price rules'!$B$9)&lt;'Price rules'!$B$10,0,'Price rules'!$B$9))</x:f>
        <x:v>38250</x:v>
      </x:c>
      <x:c r="H384" s="30" t="n">
        <x:f>IF(F384="","",FLOOR(INT(F384*'Price rules'!$B$7),'Price rules'!$B$9)+IF(MOD(INT(F384*'Price rules'!$B$7),'Price rules'!$B$9)&lt;'Price rules'!$B$10,0,'Price rules'!$B$9))</x:f>
        <x:v>48600</x:v>
      </x:c>
      <x:c r="I384" s="30" t="n">
        <x:f>IF(F384="","",FLOOR(INT(F384*'Price rules'!$B$8),'Price rules'!$B$9)+IF(MOD(INT(F384*'Price rules'!$B$8),'Price rules'!$B$9)&lt;'Price rules'!$B$10,0,'Price rules'!$B$9))</x:f>
        <x:v>54000</x:v>
      </x:c>
      <x:c r="J384" s="30" t="n">
        <x:f>IF(N384="conditional","",SUMIFS($F$5:$F$394,$A$5:$A$394,A384,$C$5:$C$394,C384,$D$5:$D$394,"&lt;="&amp;D384)+SUMIF(Towers!$A$5:$A$30,A384,Towers!$E$5:$E$30))</x:f>
        <x:v>60730</x:v>
      </x:c>
      <x:c r="K384" s="30" t="n">
        <x:v>100000</x:v>
      </x:c>
      <x:c r="L384" s="25" t="str">
        <x:v>tank_killer</x:v>
      </x:c>
      <x:c r="M384" s="25" t="str">
        <x:v>Adds the strongest aquatic beast and requires support from three other Orca handlers.</x:v>
      </x:c>
      <x:c r="N384" s="25" t="str">
        <x:v>fixed_upgrade_price</x:v>
      </x:c>
      <x:c r="O384" s="30" t="n">
        <x:v>45000</x:v>
      </x:c>
      <x:c r="P384" s="25" t="str">
        <x:v>https://raw.githubusercontent.com/Btd6ModHelper/btd6-game-data/main/Towers/BeastHandler/BeastHandler-500.json</x:v>
      </x:c>
      <x:c r="Q384" s="25" t="str">
        <x:v>https://raw.githubusercontent.com/hemisemidemipresent/cyberquincy/master/jsons/costs.json</x:v>
      </x:c>
      <x:c r="R384" s="25" t="str">
        <x:v>https://raw.githubusercontent.com/Btd6ModHelper/btd6-game-data/main/textTable.json</x:v>
      </x:c>
      <x:c r="S384" s="25" t="str">
        <x:v>https://www.bloonswiki.com/Beast_Handler_(BTD6)</x:v>
      </x:c>
      <x:c r="T384" s="25" t="str">
        <x:v>46.0</x:v>
      </x:c>
    </x:row>
    <x:row r="385" ht="64" customHeight="1">
      <x:c r="A385" s="25" t="str">
        <x:v>Beast Handler</x:v>
      </x:c>
      <x:c r="B385" s="80" t="str">
        <x:v>010</x:v>
      </x:c>
      <x:c r="C385" s="25" t="str">
        <x:v>middle</x:v>
      </x:c>
      <x:c r="D385" s="25" t="n">
        <x:v>1</x:v>
      </x:c>
      <x:c r="E385" s="25" t="str">
        <x:v>Microraptor</x:v>
      </x:c>
      <x:c r="F385" s="30" t="n">
        <x:v>175</x:v>
      </x:c>
      <x:c r="G385" s="30" t="n">
        <x:f>IF(F385="","",FLOOR(INT(F385*'Price rules'!$B$5),'Price rules'!$B$9)+IF(MOD(INT(F385*'Price rules'!$B$5),'Price rules'!$B$9)&lt;'Price rules'!$B$10,0,'Price rules'!$B$9))</x:f>
        <x:v>150</x:v>
      </x:c>
      <x:c r="H385" s="30" t="n">
        <x:f>IF(F385="","",FLOOR(INT(F385*'Price rules'!$B$7),'Price rules'!$B$9)+IF(MOD(INT(F385*'Price rules'!$B$7),'Price rules'!$B$9)&lt;'Price rules'!$B$10,0,'Price rules'!$B$9))</x:f>
        <x:v>190</x:v>
      </x:c>
      <x:c r="I385" s="30" t="n">
        <x:f>IF(F385="","",FLOOR(INT(F385*'Price rules'!$B$8),'Price rules'!$B$9)+IF(MOD(INT(F385*'Price rules'!$B$8),'Price rules'!$B$9)&lt;'Price rules'!$B$10,0,'Price rules'!$B$9))</x:f>
        <x:v>210</x:v>
      </x:c>
      <x:c r="J385" s="30" t="n">
        <x:f>IF(N385="conditional","",SUMIFS($F$5:$F$394,$A$5:$A$394,A385,$C$5:$C$394,C385,$D$5:$D$394,"&lt;="&amp;D385)+SUMIF(Towers!$A$5:$A$30,A385,Towers!$E$5:$E$30))</x:f>
        <x:v>425</x:v>
      </x:c>
      <x:c r="K385" s="30" t="n">
        <x:v>250</x:v>
      </x:c>
      <x:c r="L385" s="25" t="str">
        <x:v>basic_dps</x:v>
      </x:c>
      <x:c r="M385" s="25" t="str">
        <x:v>Commands a small land dinosaur.</x:v>
      </x:c>
      <x:c r="N385" s="25" t="str">
        <x:v>fixed_upgrade_price</x:v>
      </x:c>
      <x:c r="O385" s="30" t="n">
        <x:v>175</x:v>
      </x:c>
      <x:c r="P385" s="25" t="str">
        <x:v>https://raw.githubusercontent.com/Btd6ModHelper/btd6-game-data/main/Towers/BeastHandler/BeastHandler-010.json</x:v>
      </x:c>
      <x:c r="Q385" s="25" t="str">
        <x:v>https://raw.githubusercontent.com/hemisemidemipresent/cyberquincy/master/jsons/costs.json</x:v>
      </x:c>
      <x:c r="R385" s="25" t="str">
        <x:v>https://raw.githubusercontent.com/Btd6ModHelper/btd6-game-data/main/textTable.json</x:v>
      </x:c>
      <x:c r="S385" s="25" t="str">
        <x:v>https://www.bloonswiki.com/Beast_Handler_(BTD6)</x:v>
      </x:c>
      <x:c r="T385" s="25" t="str">
        <x:v>46.0</x:v>
      </x:c>
    </x:row>
    <x:row r="386" ht="64" customHeight="1">
      <x:c r="A386" s="25" t="str">
        <x:v>Beast Handler</x:v>
      </x:c>
      <x:c r="B386" s="80" t="str">
        <x:v>020</x:v>
      </x:c>
      <x:c r="C386" s="25" t="str">
        <x:v>middle</x:v>
      </x:c>
      <x:c r="D386" s="25" t="n">
        <x:v>2</x:v>
      </x:c>
      <x:c r="E386" s="25" t="str">
        <x:v>Adasaurus</x:v>
      </x:c>
      <x:c r="F386" s="30" t="n">
        <x:v>830</x:v>
      </x:c>
      <x:c r="G386" s="30" t="n">
        <x:f>IF(F386="","",FLOOR(INT(F386*'Price rules'!$B$5),'Price rules'!$B$9)+IF(MOD(INT(F386*'Price rules'!$B$5),'Price rules'!$B$9)&lt;'Price rules'!$B$10,0,'Price rules'!$B$9))</x:f>
        <x:v>705</x:v>
      </x:c>
      <x:c r="H386" s="30" t="n">
        <x:f>IF(F386="","",FLOOR(INT(F386*'Price rules'!$B$7),'Price rules'!$B$9)+IF(MOD(INT(F386*'Price rules'!$B$7),'Price rules'!$B$9)&lt;'Price rules'!$B$10,0,'Price rules'!$B$9))</x:f>
        <x:v>895</x:v>
      </x:c>
      <x:c r="I386" s="30" t="n">
        <x:f>IF(F386="","",FLOOR(INT(F386*'Price rules'!$B$8),'Price rules'!$B$9)+IF(MOD(INT(F386*'Price rules'!$B$8),'Price rules'!$B$9)&lt;'Price rules'!$B$10,0,'Price rules'!$B$9))</x:f>
        <x:v>995</x:v>
      </x:c>
      <x:c r="J386" s="30" t="n">
        <x:f>IF(N386="conditional","",SUMIFS($F$5:$F$394,$A$5:$A$394,A386,$C$5:$C$394,C386,$D$5:$D$394,"&lt;="&amp;D386)+SUMIF(Towers!$A$5:$A$30,A386,Towers!$E$5:$E$30))</x:f>
        <x:v>1255</x:v>
      </x:c>
      <x:c r="K386" s="30" t="n">
        <x:v>500</x:v>
      </x:c>
      <x:c r="L386" s="25" t="str">
        <x:v>basic_dps</x:v>
      </x:c>
      <x:c r="M386" s="25" t="str">
        <x:v>Improves the dinosaur and permits Lead damage.</x:v>
      </x:c>
      <x:c r="N386" s="25" t="str">
        <x:v>fixed_upgrade_price</x:v>
      </x:c>
      <x:c r="O386" s="30" t="n">
        <x:v>830</x:v>
      </x:c>
      <x:c r="P386" s="25" t="str">
        <x:v>https://raw.githubusercontent.com/Btd6ModHelper/btd6-game-data/main/Towers/BeastHandler/BeastHandler-020.json</x:v>
      </x:c>
      <x:c r="Q386" s="25" t="str">
        <x:v>https://raw.githubusercontent.com/hemisemidemipresent/cyberquincy/master/jsons/costs.json</x:v>
      </x:c>
      <x:c r="R386" s="25" t="str">
        <x:v>https://raw.githubusercontent.com/Btd6ModHelper/btd6-game-data/main/textTable.json</x:v>
      </x:c>
      <x:c r="S386" s="25" t="str">
        <x:v>https://www.bloonswiki.com/Beast_Handler_(BTD6)</x:v>
      </x:c>
      <x:c r="T386" s="25" t="str">
        <x:v>46.0</x:v>
      </x:c>
    </x:row>
    <x:row r="387" ht="64" customHeight="1">
      <x:c r="A387" s="25" t="str">
        <x:v>Beast Handler</x:v>
      </x:c>
      <x:c r="B387" s="80" t="str">
        <x:v>030</x:v>
      </x:c>
      <x:c r="C387" s="25" t="str">
        <x:v>middle</x:v>
      </x:c>
      <x:c r="D387" s="25" t="n">
        <x:v>3</x:v>
      </x:c>
      <x:c r="E387" s="25" t="str">
        <x:v>Velociraptor</x:v>
      </x:c>
      <x:c r="F387" s="30" t="n">
        <x:v>2065</x:v>
      </x:c>
      <x:c r="G387" s="30" t="n">
        <x:f>IF(F387="","",FLOOR(INT(F387*'Price rules'!$B$5),'Price rules'!$B$9)+IF(MOD(INT(F387*'Price rules'!$B$5),'Price rules'!$B$9)&lt;'Price rules'!$B$10,0,'Price rules'!$B$9))</x:f>
        <x:v>1755</x:v>
      </x:c>
      <x:c r="H387" s="30" t="n">
        <x:f>IF(F387="","",FLOOR(INT(F387*'Price rules'!$B$7),'Price rules'!$B$9)+IF(MOD(INT(F387*'Price rules'!$B$7),'Price rules'!$B$9)&lt;'Price rules'!$B$10,0,'Price rules'!$B$9))</x:f>
        <x:v>2230</x:v>
      </x:c>
      <x:c r="I387" s="30" t="n">
        <x:f>IF(F387="","",FLOOR(INT(F387*'Price rules'!$B$8),'Price rules'!$B$9)+IF(MOD(INT(F387*'Price rules'!$B$8),'Price rules'!$B$9)&lt;'Price rules'!$B$10,0,'Price rules'!$B$9))</x:f>
        <x:v>2480</x:v>
      </x:c>
      <x:c r="J387" s="30" t="n">
        <x:f>IF(N387="conditional","",SUMIFS($F$5:$F$394,$A$5:$A$394,A387,$C$5:$C$394,C387,$D$5:$D$394,"&lt;="&amp;D387)+SUMIF(Towers!$A$5:$A$30,A387,Towers!$E$5:$E$30))</x:f>
        <x:v>3320</x:v>
      </x:c>
      <x:c r="K387" s="30" t="n">
        <x:v>1000</x:v>
      </x:c>
      <x:c r="L387" s="25" t="str">
        <x:v>splash</x:v>
      </x:c>
      <x:c r="M387" s="25" t="str">
        <x:v>Adds a larger dinosaur with bonus damage against stunned targets.</x:v>
      </x:c>
      <x:c r="N387" s="25" t="str">
        <x:v>fixed_upgrade_price</x:v>
      </x:c>
      <x:c r="O387" s="30" t="n">
        <x:v>2065</x:v>
      </x:c>
      <x:c r="P387" s="25" t="str">
        <x:v>https://raw.githubusercontent.com/Btd6ModHelper/btd6-game-data/main/Towers/BeastHandler/BeastHandler-030.json</x:v>
      </x:c>
      <x:c r="Q387" s="25" t="str">
        <x:v>https://raw.githubusercontent.com/hemisemidemipresent/cyberquincy/master/jsons/costs.json</x:v>
      </x:c>
      <x:c r="R387" s="25" t="str">
        <x:v>https://raw.githubusercontent.com/Btd6ModHelper/btd6-game-data/main/textTable.json</x:v>
      </x:c>
      <x:c r="S387" s="25" t="str">
        <x:v>https://www.bloonswiki.com/Beast_Handler_(BTD6)</x:v>
      </x:c>
      <x:c r="T387" s="25" t="str">
        <x:v>46.0</x:v>
      </x:c>
    </x:row>
    <x:row r="388" ht="64" customHeight="1">
      <x:c r="A388" s="25" t="str">
        <x:v>Beast Handler</x:v>
      </x:c>
      <x:c r="B388" s="80" t="str">
        <x:v>040</x:v>
      </x:c>
      <x:c r="C388" s="25" t="str">
        <x:v>middle</x:v>
      </x:c>
      <x:c r="D388" s="25" t="n">
        <x:v>4</x:v>
      </x:c>
      <x:c r="E388" s="25" t="str">
        <x:v>Tyrannosaurus Rex</x:v>
      </x:c>
      <x:c r="F388" s="30" t="n">
        <x:v>9500</x:v>
      </x:c>
      <x:c r="G388" s="30" t="n">
        <x:f>IF(F388="","",FLOOR(INT(F388*'Price rules'!$B$5),'Price rules'!$B$9)+IF(MOD(INT(F388*'Price rules'!$B$5),'Price rules'!$B$9)&lt;'Price rules'!$B$10,0,'Price rules'!$B$9))</x:f>
        <x:v>8075</x:v>
      </x:c>
      <x:c r="H388" s="30" t="n">
        <x:f>IF(F388="","",FLOOR(INT(F388*'Price rules'!$B$7),'Price rules'!$B$9)+IF(MOD(INT(F388*'Price rules'!$B$7),'Price rules'!$B$9)&lt;'Price rules'!$B$10,0,'Price rules'!$B$9))</x:f>
        <x:v>10260</x:v>
      </x:c>
      <x:c r="I388" s="30" t="n">
        <x:f>IF(F388="","",FLOOR(INT(F388*'Price rules'!$B$8),'Price rules'!$B$9)+IF(MOD(INT(F388*'Price rules'!$B$8),'Price rules'!$B$9)&lt;'Price rules'!$B$10,0,'Price rules'!$B$9))</x:f>
        <x:v>11400</x:v>
      </x:c>
      <x:c r="J388" s="30" t="n">
        <x:f>IF(N388="conditional","",SUMIFS($F$5:$F$394,$A$5:$A$394,A388,$C$5:$C$394,C388,$D$5:$D$394,"&lt;="&amp;D388)+SUMIF(Towers!$A$5:$A$30,A388,Towers!$E$5:$E$30))</x:f>
        <x:v>12820</x:v>
      </x:c>
      <x:c r="K388" s="30" t="n">
        <x:v>5000</x:v>
      </x:c>
      <x:c r="L388" s="25" t="str">
        <x:v>splash</x:v>
      </x:c>
      <x:c r="M388" s="25" t="str">
        <x:v>Adds a powerful dinosaur and the T-Rex Stomp ability.</x:v>
      </x:c>
      <x:c r="N388" s="25" t="str">
        <x:v>fixed_upgrade_price</x:v>
      </x:c>
      <x:c r="O388" s="30" t="n">
        <x:v>9500</x:v>
      </x:c>
      <x:c r="P388" s="25" t="str">
        <x:v>https://raw.githubusercontent.com/Btd6ModHelper/btd6-game-data/main/Towers/BeastHandler/BeastHandler-040.json</x:v>
      </x:c>
      <x:c r="Q388" s="25" t="str">
        <x:v>https://raw.githubusercontent.com/hemisemidemipresent/cyberquincy/master/jsons/costs.json</x:v>
      </x:c>
      <x:c r="R388" s="25" t="str">
        <x:v>https://raw.githubusercontent.com/Btd6ModHelper/btd6-game-data/main/textTable.json</x:v>
      </x:c>
      <x:c r="S388" s="25" t="str">
        <x:v>https://www.bloonswiki.com/Beast_Handler_(BTD6)</x:v>
      </x:c>
      <x:c r="T388" s="25" t="str">
        <x:v>46.0</x:v>
      </x:c>
    </x:row>
    <x:row r="389" ht="64" customHeight="1">
      <x:c r="A389" s="25" t="str">
        <x:v>Beast Handler</x:v>
      </x:c>
      <x:c r="B389" s="80" t="str">
        <x:v>050</x:v>
      </x:c>
      <x:c r="C389" s="25" t="str">
        <x:v>middle</x:v>
      </x:c>
      <x:c r="D389" s="25" t="n">
        <x:v>5</x:v>
      </x:c>
      <x:c r="E389" s="25" t="str">
        <x:v>Giganotosaurus</x:v>
      </x:c>
      <x:c r="F389" s="30" t="n">
        <x:v>60000</x:v>
      </x:c>
      <x:c r="G389" s="30" t="n">
        <x:f>IF(F389="","",FLOOR(INT(F389*'Price rules'!$B$5),'Price rules'!$B$9)+IF(MOD(INT(F389*'Price rules'!$B$5),'Price rules'!$B$9)&lt;'Price rules'!$B$10,0,'Price rules'!$B$9))</x:f>
        <x:v>51000</x:v>
      </x:c>
      <x:c r="H389" s="30" t="n">
        <x:f>IF(F389="","",FLOOR(INT(F389*'Price rules'!$B$7),'Price rules'!$B$9)+IF(MOD(INT(F389*'Price rules'!$B$7),'Price rules'!$B$9)&lt;'Price rules'!$B$10,0,'Price rules'!$B$9))</x:f>
        <x:v>64800</x:v>
      </x:c>
      <x:c r="I389" s="30" t="n">
        <x:f>IF(F389="","",FLOOR(INT(F389*'Price rules'!$B$8),'Price rules'!$B$9)+IF(MOD(INT(F389*'Price rules'!$B$8),'Price rules'!$B$9)&lt;'Price rules'!$B$10,0,'Price rules'!$B$9))</x:f>
        <x:v>72000</x:v>
      </x:c>
      <x:c r="J389" s="30" t="n">
        <x:f>IF(N389="conditional","",SUMIFS($F$5:$F$394,$A$5:$A$394,A389,$C$5:$C$394,C389,$D$5:$D$394,"&lt;="&amp;D389)+SUMIF(Towers!$A$5:$A$30,A389,Towers!$E$5:$E$30))</x:f>
        <x:v>72820</x:v>
      </x:c>
      <x:c r="K389" s="30" t="n">
        <x:v>90000</x:v>
      </x:c>
      <x:c r="L389" s="25" t="str">
        <x:v>splash</x:v>
      </x:c>
      <x:c r="M389" s="25" t="str">
        <x:v>Strengthens the dinosaur and stomp; requires support from three other Tyrannosaurus Rex handlers.</x:v>
      </x:c>
      <x:c r="N389" s="25" t="str">
        <x:v>fixed_upgrade_price</x:v>
      </x:c>
      <x:c r="O389" s="30" t="n">
        <x:v>60000</x:v>
      </x:c>
      <x:c r="P389" s="25" t="str">
        <x:v>https://raw.githubusercontent.com/Btd6ModHelper/btd6-game-data/main/Towers/BeastHandler/BeastHandler-050.json</x:v>
      </x:c>
      <x:c r="Q389" s="25" t="str">
        <x:v>https://raw.githubusercontent.com/hemisemidemipresent/cyberquincy/master/jsons/costs.json</x:v>
      </x:c>
      <x:c r="R389" s="25" t="str">
        <x:v>https://raw.githubusercontent.com/Btd6ModHelper/btd6-game-data/main/textTable.json</x:v>
      </x:c>
      <x:c r="S389" s="25" t="str">
        <x:v>https://www.bloonswiki.com/Beast_Handler_(BTD6)</x:v>
      </x:c>
      <x:c r="T389" s="25" t="str">
        <x:v>46.0</x:v>
      </x:c>
    </x:row>
    <x:row r="390" ht="64" customHeight="1">
      <x:c r="A390" s="25" t="str">
        <x:v>Beast Handler</x:v>
      </x:c>
      <x:c r="B390" s="80" t="str">
        <x:v>001</x:v>
      </x:c>
      <x:c r="C390" s="25" t="str">
        <x:v>bottom</x:v>
      </x:c>
      <x:c r="D390" s="25" t="n">
        <x:v>1</x:v>
      </x:c>
      <x:c r="E390" s="25" t="str">
        <x:v>Gyrfalcon</x:v>
      </x:c>
      <x:c r="F390" s="30" t="n">
        <x:v>190</x:v>
      </x:c>
      <x:c r="G390" s="30" t="n">
        <x:f>IF(F390="","",FLOOR(INT(F390*'Price rules'!$B$5),'Price rules'!$B$9)+IF(MOD(INT(F390*'Price rules'!$B$5),'Price rules'!$B$9)&lt;'Price rules'!$B$10,0,'Price rules'!$B$9))</x:f>
        <x:v>160</x:v>
      </x:c>
      <x:c r="H390" s="30" t="n">
        <x:f>IF(F390="","",FLOOR(INT(F390*'Price rules'!$B$7),'Price rules'!$B$9)+IF(MOD(INT(F390*'Price rules'!$B$7),'Price rules'!$B$9)&lt;'Price rules'!$B$10,0,'Price rules'!$B$9))</x:f>
        <x:v>205</x:v>
      </x:c>
      <x:c r="I390" s="30" t="n">
        <x:f>IF(F390="","",FLOOR(INT(F390*'Price rules'!$B$8),'Price rules'!$B$9)+IF(MOD(INT(F390*'Price rules'!$B$8),'Price rules'!$B$9)&lt;'Price rules'!$B$10,0,'Price rules'!$B$9))</x:f>
        <x:v>230</x:v>
      </x:c>
      <x:c r="J390" s="30" t="n">
        <x:f>IF(N390="conditional","",SUMIFS($F$5:$F$394,$A$5:$A$394,A390,$C$5:$C$394,C390,$D$5:$D$394,"&lt;="&amp;D390)+SUMIF(Towers!$A$5:$A$30,A390,Towers!$E$5:$E$30))</x:f>
        <x:v>440</x:v>
      </x:c>
      <x:c r="K390" s="30" t="n">
        <x:v>250</x:v>
      </x:c>
      <x:c r="L390" s="25" t="str">
        <x:v>basic_dps</x:v>
      </x:c>
      <x:c r="M390" s="25" t="str">
        <x:v>Commands a bird that carries ordinary Bloons back along the track.</x:v>
      </x:c>
      <x:c r="N390" s="25" t="str">
        <x:v>fixed_upgrade_price</x:v>
      </x:c>
      <x:c r="O390" s="30" t="n">
        <x:v>190</x:v>
      </x:c>
      <x:c r="P390" s="25" t="str">
        <x:v>https://raw.githubusercontent.com/Btd6ModHelper/btd6-game-data/main/Towers/BeastHandler/BeastHandler-001.json</x:v>
      </x:c>
      <x:c r="Q390" s="25" t="str">
        <x:v>https://raw.githubusercontent.com/hemisemidemipresent/cyberquincy/master/jsons/costs.json</x:v>
      </x:c>
      <x:c r="R390" s="25" t="str">
        <x:v>https://raw.githubusercontent.com/Btd6ModHelper/btd6-game-data/main/textTable.json</x:v>
      </x:c>
      <x:c r="S390" s="25" t="str">
        <x:v>https://www.bloonswiki.com/Beast_Handler_(BTD6)</x:v>
      </x:c>
      <x:c r="T390" s="25" t="str">
        <x:v>46.0</x:v>
      </x:c>
    </x:row>
    <x:row r="391" ht="64" customHeight="1">
      <x:c r="A391" s="25" t="str">
        <x:v>Beast Handler</x:v>
      </x:c>
      <x:c r="B391" s="80" t="str">
        <x:v>002</x:v>
      </x:c>
      <x:c r="C391" s="25" t="str">
        <x:v>bottom</x:v>
      </x:c>
      <x:c r="D391" s="25" t="n">
        <x:v>2</x:v>
      </x:c>
      <x:c r="E391" s="25" t="str">
        <x:v>Horned Owl</x:v>
      </x:c>
      <x:c r="F391" s="30" t="n">
        <x:v>860</x:v>
      </x:c>
      <x:c r="G391" s="30" t="n">
        <x:f>IF(F391="","",FLOOR(INT(F391*'Price rules'!$B$5),'Price rules'!$B$9)+IF(MOD(INT(F391*'Price rules'!$B$5),'Price rules'!$B$9)&lt;'Price rules'!$B$10,0,'Price rules'!$B$9))</x:f>
        <x:v>730</x:v>
      </x:c>
      <x:c r="H391" s="30" t="n">
        <x:f>IF(F391="","",FLOOR(INT(F391*'Price rules'!$B$7),'Price rules'!$B$9)+IF(MOD(INT(F391*'Price rules'!$B$7),'Price rules'!$B$9)&lt;'Price rules'!$B$10,0,'Price rules'!$B$9))</x:f>
        <x:v>930</x:v>
      </x:c>
      <x:c r="I391" s="30" t="n">
        <x:f>IF(F391="","",FLOOR(INT(F391*'Price rules'!$B$8),'Price rules'!$B$9)+IF(MOD(INT(F391*'Price rules'!$B$8),'Price rules'!$B$9)&lt;'Price rules'!$B$10,0,'Price rules'!$B$9))</x:f>
        <x:v>1030</x:v>
      </x:c>
      <x:c r="J391" s="30" t="n">
        <x:f>IF(N391="conditional","",SUMIFS($F$5:$F$394,$A$5:$A$394,A391,$C$5:$C$394,C391,$D$5:$D$394,"&lt;="&amp;D391)+SUMIF(Towers!$A$5:$A$30,A391,Towers!$E$5:$E$30))</x:f>
        <x:v>1300</x:v>
      </x:c>
      <x:c r="K391" s="30" t="n">
        <x:v>550</x:v>
      </x:c>
      <x:c r="L391" s="25" t="str">
        <x:v>basic_dps</x:v>
      </x:c>
      <x:c r="M391" s="25" t="str">
        <x:v>Improves the bird and adds Camo and Ceramic handling.</x:v>
      </x:c>
      <x:c r="N391" s="25" t="str">
        <x:v>fixed_upgrade_price</x:v>
      </x:c>
      <x:c r="O391" s="30" t="n">
        <x:v>860</x:v>
      </x:c>
      <x:c r="P391" s="25" t="str">
        <x:v>https://raw.githubusercontent.com/Btd6ModHelper/btd6-game-data/main/Towers/BeastHandler/BeastHandler-002.json</x:v>
      </x:c>
      <x:c r="Q391" s="25" t="str">
        <x:v>https://raw.githubusercontent.com/hemisemidemipresent/cyberquincy/master/jsons/costs.json</x:v>
      </x:c>
      <x:c r="R391" s="25" t="str">
        <x:v>https://raw.githubusercontent.com/Btd6ModHelper/btd6-game-data/main/textTable.json</x:v>
      </x:c>
      <x:c r="S391" s="25" t="str">
        <x:v>https://www.bloonswiki.com/Beast_Handler_(BTD6)</x:v>
      </x:c>
      <x:c r="T391" s="25" t="str">
        <x:v>46.0</x:v>
      </x:c>
    </x:row>
    <x:row r="392" ht="64" customHeight="1">
      <x:c r="A392" s="25" t="str">
        <x:v>Beast Handler</x:v>
      </x:c>
      <x:c r="B392" s="80" t="str">
        <x:v>003</x:v>
      </x:c>
      <x:c r="C392" s="25" t="str">
        <x:v>bottom</x:v>
      </x:c>
      <x:c r="D392" s="25" t="n">
        <x:v>3</x:v>
      </x:c>
      <x:c r="E392" s="25" t="str">
        <x:v>Golden Eagle</x:v>
      </x:c>
      <x:c r="F392" s="30" t="n">
        <x:v>2120</x:v>
      </x:c>
      <x:c r="G392" s="30" t="n">
        <x:f>IF(F392="","",FLOOR(INT(F392*'Price rules'!$B$5),'Price rules'!$B$9)+IF(MOD(INT(F392*'Price rules'!$B$5),'Price rules'!$B$9)&lt;'Price rules'!$B$10,0,'Price rules'!$B$9))</x:f>
        <x:v>1800</x:v>
      </x:c>
      <x:c r="H392" s="30" t="n">
        <x:f>IF(F392="","",FLOOR(INT(F392*'Price rules'!$B$7),'Price rules'!$B$9)+IF(MOD(INT(F392*'Price rules'!$B$7),'Price rules'!$B$9)&lt;'Price rules'!$B$10,0,'Price rules'!$B$9))</x:f>
        <x:v>2290</x:v>
      </x:c>
      <x:c r="I392" s="30" t="n">
        <x:f>IF(F392="","",FLOOR(INT(F392*'Price rules'!$B$8),'Price rules'!$B$9)+IF(MOD(INT(F392*'Price rules'!$B$8),'Price rules'!$B$9)&lt;'Price rules'!$B$10,0,'Price rules'!$B$9))</x:f>
        <x:v>2545</x:v>
      </x:c>
      <x:c r="J392" s="30" t="n">
        <x:f>IF(N392="conditional","",SUMIFS($F$5:$F$394,$A$5:$A$394,A392,$C$5:$C$394,C392,$D$5:$D$394,"&lt;="&amp;D392)+SUMIF(Towers!$A$5:$A$30,A392,Towers!$E$5:$E$30))</x:f>
        <x:v>3420</x:v>
      </x:c>
      <x:c r="K392" s="30" t="n">
        <x:v>1000</x:v>
      </x:c>
      <x:c r="L392" s="25" t="str">
        <x:v>slow</x:v>
      </x:c>
      <x:c r="M392" s="25" t="str">
        <x:v>Adds a stronger bird; sufficient Beast Power permits carrying smaller MOAB-class targets.</x:v>
      </x:c>
      <x:c r="N392" s="25" t="str">
        <x:v>fixed_upgrade_price</x:v>
      </x:c>
      <x:c r="O392" s="30" t="n">
        <x:v>2120</x:v>
      </x:c>
      <x:c r="P392" s="25" t="str">
        <x:v>https://raw.githubusercontent.com/Btd6ModHelper/btd6-game-data/main/Towers/BeastHandler/BeastHandler-003.json</x:v>
      </x:c>
      <x:c r="Q392" s="25" t="str">
        <x:v>https://raw.githubusercontent.com/hemisemidemipresent/cyberquincy/master/jsons/costs.json</x:v>
      </x:c>
      <x:c r="R392" s="25" t="str">
        <x:v>https://raw.githubusercontent.com/Btd6ModHelper/btd6-game-data/main/textTable.json</x:v>
      </x:c>
      <x:c r="S392" s="25" t="str">
        <x:v>https://www.bloonswiki.com/Beast_Handler_(BTD6)</x:v>
      </x:c>
      <x:c r="T392" s="25" t="str">
        <x:v>46.0</x:v>
      </x:c>
    </x:row>
    <x:row r="393" ht="64" customHeight="1">
      <x:c r="A393" s="25" t="str">
        <x:v>Beast Handler</x:v>
      </x:c>
      <x:c r="B393" s="80" t="str">
        <x:v>004</x:v>
      </x:c>
      <x:c r="C393" s="25" t="str">
        <x:v>bottom</x:v>
      </x:c>
      <x:c r="D393" s="25" t="n">
        <x:v>4</x:v>
      </x:c>
      <x:c r="E393" s="25" t="str">
        <x:v>Giant Condor</x:v>
      </x:c>
      <x:c r="F393" s="30" t="n">
        <x:v>9000</x:v>
      </x:c>
      <x:c r="G393" s="30" t="n">
        <x:f>IF(F393="","",FLOOR(INT(F393*'Price rules'!$B$5),'Price rules'!$B$9)+IF(MOD(INT(F393*'Price rules'!$B$5),'Price rules'!$B$9)&lt;'Price rules'!$B$10,0,'Price rules'!$B$9))</x:f>
        <x:v>7650</x:v>
      </x:c>
      <x:c r="H393" s="30" t="n">
        <x:f>IF(F393="","",FLOOR(INT(F393*'Price rules'!$B$7),'Price rules'!$B$9)+IF(MOD(INT(F393*'Price rules'!$B$7),'Price rules'!$B$9)&lt;'Price rules'!$B$10,0,'Price rules'!$B$9))</x:f>
        <x:v>9720</x:v>
      </x:c>
      <x:c r="I393" s="30" t="n">
        <x:f>IF(F393="","",FLOOR(INT(F393*'Price rules'!$B$8),'Price rules'!$B$9)+IF(MOD(INT(F393*'Price rules'!$B$8),'Price rules'!$B$9)&lt;'Price rules'!$B$10,0,'Price rules'!$B$9))</x:f>
        <x:v>10800</x:v>
      </x:c>
      <x:c r="J393" s="30" t="n">
        <x:f>IF(N393="conditional","",SUMIFS($F$5:$F$394,$A$5:$A$394,A393,$C$5:$C$394,C393,$D$5:$D$394,"&lt;="&amp;D393)+SUMIF(Towers!$A$5:$A$30,A393,Towers!$E$5:$E$30))</x:f>
        <x:v>12420</x:v>
      </x:c>
      <x:c r="K393" s="30" t="n">
        <x:v>5500</x:v>
      </x:c>
      <x:c r="L393" s="25" t="str">
        <x:v>slow</x:v>
      </x:c>
      <x:c r="M393" s="25" t="str">
        <x:v>Can move larger eligible MOAB-class targets; capacity scales with Beast Power.</x:v>
      </x:c>
      <x:c r="N393" s="25" t="str">
        <x:v>fixed_upgrade_price</x:v>
      </x:c>
      <x:c r="O393" s="30" t="n">
        <x:v>9000</x:v>
      </x:c>
      <x:c r="P393" s="25" t="str">
        <x:v>https://raw.githubusercontent.com/Btd6ModHelper/btd6-game-data/main/Towers/BeastHandler/BeastHandler-004.json</x:v>
      </x:c>
      <x:c r="Q393" s="25" t="str">
        <x:v>https://raw.githubusercontent.com/hemisemidemipresent/cyberquincy/master/jsons/costs.json</x:v>
      </x:c>
      <x:c r="R393" s="25" t="str">
        <x:v>https://raw.githubusercontent.com/Btd6ModHelper/btd6-game-data/main/textTable.json</x:v>
      </x:c>
      <x:c r="S393" s="25" t="str">
        <x:v>https://www.bloonswiki.com/Beast_Handler_(BTD6)</x:v>
      </x:c>
      <x:c r="T393" s="25" t="str">
        <x:v>46.0</x:v>
      </x:c>
    </x:row>
    <x:row r="394" ht="64" customHeight="1">
      <x:c r="A394" s="25" t="str">
        <x:v>Beast Handler</x:v>
      </x:c>
      <x:c r="B394" s="80" t="str">
        <x:v>005</x:v>
      </x:c>
      <x:c r="C394" s="25" t="str">
        <x:v>bottom</x:v>
      </x:c>
      <x:c r="D394" s="25" t="n">
        <x:v>5</x:v>
      </x:c>
      <x:c r="E394" s="25" t="str">
        <x:v>Pouākai</x:v>
      </x:c>
      <x:c r="F394" s="30" t="n">
        <x:v>30000</x:v>
      </x:c>
      <x:c r="G394" s="30" t="n">
        <x:f>IF(F394="","",FLOOR(INT(F394*'Price rules'!$B$5),'Price rules'!$B$9)+IF(MOD(INT(F394*'Price rules'!$B$5),'Price rules'!$B$9)&lt;'Price rules'!$B$10,0,'Price rules'!$B$9))</x:f>
        <x:v>25500</x:v>
      </x:c>
      <x:c r="H394" s="30" t="n">
        <x:f>IF(F394="","",FLOOR(INT(F394*'Price rules'!$B$7),'Price rules'!$B$9)+IF(MOD(INT(F394*'Price rules'!$B$7),'Price rules'!$B$9)&lt;'Price rules'!$B$10,0,'Price rules'!$B$9))</x:f>
        <x:v>32400</x:v>
      </x:c>
      <x:c r="I394" s="30" t="n">
        <x:f>IF(F394="","",FLOOR(INT(F394*'Price rules'!$B$8),'Price rules'!$B$9)+IF(MOD(INT(F394*'Price rules'!$B$8),'Price rules'!$B$9)&lt;'Price rules'!$B$10,0,'Price rules'!$B$9))</x:f>
        <x:v>36000</x:v>
      </x:c>
      <x:c r="J394" s="30" t="n">
        <x:f>IF(N394="conditional","",SUMIFS($F$5:$F$394,$A$5:$A$394,A394,$C$5:$C$394,C394,$D$5:$D$394,"&lt;="&amp;D394)+SUMIF(Towers!$A$5:$A$30,A394,Towers!$E$5:$E$30))</x:f>
        <x:v>42420</x:v>
      </x:c>
      <x:c r="K394" s="30" t="n">
        <x:v>110000</x:v>
      </x:c>
      <x:c r="L394" s="25" t="str">
        <x:v>slow</x:v>
      </x:c>
      <x:c r="M394" s="25" t="str">
        <x:v>Adds the strongest bird and requires support from three other Giant Condor handlers.</x:v>
      </x:c>
      <x:c r="N394" s="25" t="str">
        <x:v>fixed_upgrade_price</x:v>
      </x:c>
      <x:c r="O394" s="30" t="n">
        <x:v>30000</x:v>
      </x:c>
      <x:c r="P394" s="25" t="str">
        <x:v>https://raw.githubusercontent.com/Btd6ModHelper/btd6-game-data/main/Towers/BeastHandler/BeastHandler-005.json</x:v>
      </x:c>
      <x:c r="Q394" s="25" t="str">
        <x:v>https://raw.githubusercontent.com/hemisemidemipresent/cyberquincy/master/jsons/costs.json</x:v>
      </x:c>
      <x:c r="R394" s="25" t="str">
        <x:v>https://raw.githubusercontent.com/Btd6ModHelper/btd6-game-data/main/textTable.json</x:v>
      </x:c>
      <x:c r="S394" s="25" t="str">
        <x:v>https://www.bloonswiki.com/Beast_Handler_(BTD6)</x:v>
      </x:c>
      <x:c r="T394" s="25" t="str">
        <x:v>46.0</x:v>
      </x:c>
    </x:row>
  </x:sheetData>
  <x:mergeCells>
    <x:mergeCell ref="A1:J1"/>
    <x:mergeCell ref="A2:J2"/>
  </x:mergeCells>
  <x:conditionalFormatting sqref="A5:T394">
    <x:cfRule type="expression" dxfId="0" priority="1">
      <x:formula>$N5="conditional"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c2d7c08b306468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2" hidden="0" customWidth="1"/>
    <x:col min="3" max="3" width="32" hidden="0" customWidth="1"/>
    <x:col min="4" max="4" width="30" hidden="0" customWidth="1"/>
    <x:col min="5" max="5" width="15" hidden="0" customWidth="1"/>
    <x:col min="6" max="6" width="15" hidden="0" customWidth="1"/>
    <x:col min="7" max="7" width="40" hidden="0" customWidth="1"/>
    <x:col min="8" max="8" width="27" hidden="0" customWidth="1"/>
    <x:col min="9" max="9" width="40" hidden="0" customWidth="1"/>
    <x:col min="10" max="10" width="40" hidden="0" customWidth="1"/>
    <x:col min="11" max="11" width="40" hidden="0" customWidth="1"/>
  </x:cols>
  <x:sheetData>
    <x:row r="1" ht="38" customHeight="1">
      <x:c r="A1" s="8" t="str">
        <x:v>Abilities, automatic effects and controls</x:v>
      </x:c>
      <x:c r="B1" s="8"/>
      <x:c r="C1" s="8"/>
      <x:c r="D1" s="8"/>
      <x:c r="E1" s="8"/>
      <x:c r="F1" s="8"/>
      <x:c r="G1" s="8"/>
      <x:c r="H1" s="8"/>
      <x:c r="I1" s="8"/>
      <x:c r="J1" s="8"/>
      <x:c r="K1" s="4"/>
    </x:row>
    <x:row r="2" ht="34" customHeight="1">
      <x:c r="A2" s="13" t="str">
        <x:v>71 records are not 71 ability buttons. Trigger type distinguishes activation, automatic effects, collection controls and mode switches. Blank timing is unverified or not applicable.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4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34" customHeight="1">
      <x:c r="A4" s="19" t="str">
        <x:v>Tower</x:v>
      </x:c>
      <x:c r="B4" s="19" t="str">
        <x:v>Unlock code</x:v>
      </x:c>
      <x:c r="C4" s="19" t="str">
        <x:v>Ability / control</x:v>
      </x:c>
      <x:c r="D4" s="19" t="str">
        <x:v>Trigger</x:v>
      </x:c>
      <x:c r="E4" s="19" t="str">
        <x:v>Cooldown, s</x:v>
      </x:c>
      <x:c r="F4" s="19" t="str">
        <x:v>Duration, s</x:v>
      </x:c>
      <x:c r="G4" s="19" t="str">
        <x:v>Effect</x:v>
      </x:c>
      <x:c r="H4" s="19" t="str">
        <x:v>Numerical coverage</x:v>
      </x:c>
      <x:c r="I4" s="19" t="str">
        <x:v>Model reference URL</x:v>
      </x:c>
      <x:c r="J4" s="19" t="str">
        <x:v>Effect source URL</x:v>
      </x:c>
      <x:c r="K4" s="19" t="str">
        <x:v>Cooldown source URL</x:v>
      </x:c>
    </x:row>
    <x:row r="5" ht="95" customHeight="1">
      <x:c r="A5" s="25" t="str">
        <x:v>Dart Monkey</x:v>
      </x:c>
      <x:c r="B5" s="80" t="str">
        <x:v>040</x:v>
      </x:c>
      <x:c r="C5" s="25" t="str">
        <x:v>Super Monkey Fan Club</x:v>
      </x:c>
      <x:c r="D5" s="25" t="str">
        <x:v>activated</x:v>
      </x:c>
      <x:c r="E5" s="36" t="n">
        <x:v>50</x:v>
      </x:c>
      <x:c r="F5" s="36"/>
      <x:c r="G5" s="25" t="str">
        <x:v>Temporarily transforms eligible nearby Dart Monkeys into rapid-attacking forms.</x:v>
      </x:c>
      <x:c r="H5" s="25" t="str">
        <x:v>cooldown_verified</x:v>
      </x:c>
      <x:c r="I5" s="25" t="str">
        <x:v>https://raw.githubusercontent.com/Btd6ModHelper/btd6-game-data/main/Towers/DartMonkey/DartMonkey-040.json</x:v>
      </x:c>
      <x:c r="J5" s="25" t="str">
        <x:v>https://raw.githubusercontent.com/Btd6ModHelper/btd6-game-data/main/textTable.json</x:v>
      </x:c>
      <x:c r="K5" s="25" t="str">
        <x:v>https://raw.githubusercontent.com/Btd6ModHelper/btd6-game-data/main/Towers/DartMonkey/DartMonkey-040.json</x:v>
      </x:c>
    </x:row>
    <x:row r="6" ht="95" customHeight="1">
      <x:c r="A6" s="25" t="str">
        <x:v>Dart Monkey</x:v>
      </x:c>
      <x:c r="B6" s="80" t="str">
        <x:v>050</x:v>
      </x:c>
      <x:c r="C6" s="25" t="str">
        <x:v>Plasma Monkey Fan Club</x:v>
      </x:c>
      <x:c r="D6" s="25" t="str">
        <x:v>activated</x:v>
      </x:c>
      <x:c r="E6" s="36" t="n">
        <x:v>50</x:v>
      </x:c>
      <x:c r="F6" s="36"/>
      <x:c r="G6" s="25" t="str">
        <x:v>Replaces the Fan Club transformation with stronger plasma forms.</x:v>
      </x:c>
      <x:c r="H6" s="25" t="str">
        <x:v>cooldown_verified</x:v>
      </x:c>
      <x:c r="I6" s="25" t="str">
        <x:v>https://raw.githubusercontent.com/Btd6ModHelper/btd6-game-data/main/Towers/DartMonkey/DartMonkey-050.json</x:v>
      </x:c>
      <x:c r="J6" s="25" t="str">
        <x:v>https://raw.githubusercontent.com/Btd6ModHelper/btd6-game-data/main/textTable.json</x:v>
      </x:c>
      <x:c r="K6" s="25" t="str">
        <x:v>https://raw.githubusercontent.com/Btd6ModHelper/btd6-game-data/main/Towers/DartMonkey/DartMonkey-050.json</x:v>
      </x:c>
    </x:row>
    <x:row r="7" ht="95" customHeight="1">
      <x:c r="A7" s="25" t="str">
        <x:v>Boomerang Monkey</x:v>
      </x:c>
      <x:c r="B7" s="80" t="str">
        <x:v>040</x:v>
      </x:c>
      <x:c r="C7" s="25" t="str">
        <x:v>Turbo Charge</x:v>
      </x:c>
      <x:c r="D7" s="25" t="str">
        <x:v>activated</x:v>
      </x:c>
      <x:c r="E7" s="36" t="n">
        <x:v>45</x:v>
      </x:c>
      <x:c r="F7" s="36"/>
      <x:c r="G7" s="25" t="str">
        <x:v>Temporarily increases attack speed.</x:v>
      </x:c>
      <x:c r="H7" s="25" t="str">
        <x:v>cooldown_verified</x:v>
      </x:c>
      <x:c r="I7" s="25" t="str">
        <x:v>https://raw.githubusercontent.com/Btd6ModHelper/btd6-game-data/main/Towers/BoomerangMonkey/BoomerangMonkey-040.json</x:v>
      </x:c>
      <x:c r="J7" s="25" t="str">
        <x:v>https://raw.githubusercontent.com/Btd6ModHelper/btd6-game-data/main/textTable.json</x:v>
      </x:c>
      <x:c r="K7" s="25" t="str">
        <x:v>https://raw.githubusercontent.com/Btd6ModHelper/btd6-game-data/main/Towers/BoomerangMonkey/BoomerangMonkey-040.json</x:v>
      </x:c>
    </x:row>
    <x:row r="8" ht="95" customHeight="1">
      <x:c r="A8" s="25" t="str">
        <x:v>Boomerang Monkey</x:v>
      </x:c>
      <x:c r="B8" s="80" t="str">
        <x:v>050</x:v>
      </x:c>
      <x:c r="C8" s="25" t="str">
        <x:v>Perma Charge</x:v>
      </x:c>
      <x:c r="D8" s="25" t="str">
        <x:v>activated</x:v>
      </x:c>
      <x:c r="E8" s="36"/>
      <x:c r="F8" s="36"/>
      <x:c r="G8" s="25" t="str">
        <x:v>Adds a temporary damage boost to its permanently fast attacks.</x:v>
      </x:c>
      <x:c r="H8" s="25" t="str">
        <x:v>not_fully_normalized</x:v>
      </x:c>
      <x:c r="I8" s="25" t="str">
        <x:v>https://raw.githubusercontent.com/Btd6ModHelper/btd6-game-data/main/Towers/BoomerangMonkey/BoomerangMonkey-050.json</x:v>
      </x:c>
      <x:c r="J8" s="25" t="str">
        <x:v>https://raw.githubusercontent.com/Btd6ModHelper/btd6-game-data/main/textTable.json</x:v>
      </x:c>
      <x:c r="K8" s="25"/>
    </x:row>
    <x:row r="9" ht="95" customHeight="1">
      <x:c r="A9" s="25" t="str">
        <x:v>Bomb Shooter</x:v>
      </x:c>
      <x:c r="B9" s="80" t="str">
        <x:v>040</x:v>
      </x:c>
      <x:c r="C9" s="25" t="str">
        <x:v>MOAB Assassin</x:v>
      </x:c>
      <x:c r="D9" s="25" t="str">
        <x:v>activated</x:v>
      </x:c>
      <x:c r="E9" s="36"/>
      <x:c r="F9" s="36"/>
      <x:c r="G9" s="25" t="str">
        <x:v>Launches a high-damage missile at a MOAB-class target.</x:v>
      </x:c>
      <x:c r="H9" s="25" t="str">
        <x:v>not_fully_normalized</x:v>
      </x:c>
      <x:c r="I9" s="25" t="str">
        <x:v>https://raw.githubusercontent.com/Btd6ModHelper/btd6-game-data/main/Towers/BombShooter/BombShooter-040.json</x:v>
      </x:c>
      <x:c r="J9" s="25" t="str">
        <x:v>https://raw.githubusercontent.com/Btd6ModHelper/btd6-game-data/main/textTable.json</x:v>
      </x:c>
      <x:c r="K9" s="25"/>
    </x:row>
    <x:row r="10" ht="95" customHeight="1">
      <x:c r="A10" s="25" t="str">
        <x:v>Bomb Shooter</x:v>
      </x:c>
      <x:c r="B10" s="80" t="str">
        <x:v>050</x:v>
      </x:c>
      <x:c r="C10" s="25" t="str">
        <x:v>MOAB Eliminator</x:v>
      </x:c>
      <x:c r="D10" s="25" t="str">
        <x:v>activated</x:v>
      </x:c>
      <x:c r="E10" s="36"/>
      <x:c r="F10" s="36"/>
      <x:c r="G10" s="25" t="str">
        <x:v>Upgrades the missile ability and reduces its cooldown.</x:v>
      </x:c>
      <x:c r="H10" s="25" t="str">
        <x:v>not_fully_normalized</x:v>
      </x:c>
      <x:c r="I10" s="25" t="str">
        <x:v>https://raw.githubusercontent.com/Btd6ModHelper/btd6-game-data/main/Towers/BombShooter/BombShooter-050.json</x:v>
      </x:c>
      <x:c r="J10" s="25" t="str">
        <x:v>https://raw.githubusercontent.com/Btd6ModHelper/btd6-game-data/main/textTable.json</x:v>
      </x:c>
      <x:c r="K10" s="25"/>
    </x:row>
    <x:row r="11" ht="95" customHeight="1">
      <x:c r="A11" s="25" t="str">
        <x:v>Bomb Shooter</x:v>
      </x:c>
      <x:c r="B11" s="80" t="str">
        <x:v>005</x:v>
      </x:c>
      <x:c r="C11" s="25" t="str">
        <x:v>Bomb Storm</x:v>
      </x:c>
      <x:c r="D11" s="25" t="str">
        <x:v>automatic_emergency</x:v>
      </x:c>
      <x:c r="E11" s="36"/>
      <x:c r="F11" s="36"/>
      <x:c r="G11" s="25" t="str">
        <x:v>Triggers a broad emergency attack when the life-loss condition is met.</x:v>
      </x:c>
      <x:c r="H11" s="25" t="str">
        <x:v>not_fully_normalized</x:v>
      </x:c>
      <x:c r="I11" s="25" t="str">
        <x:v>https://raw.githubusercontent.com/Btd6ModHelper/btd6-game-data/main/Towers/BombShooter/BombShooter-005.json</x:v>
      </x:c>
      <x:c r="J11" s="25" t="str">
        <x:v>https://raw.githubusercontent.com/Btd6ModHelper/btd6-game-data/main/textTable.json</x:v>
      </x:c>
      <x:c r="K11" s="25"/>
    </x:row>
    <x:row r="12" ht="95" customHeight="1">
      <x:c r="A12" s="25" t="str">
        <x:v>Tack Shooter</x:v>
      </x:c>
      <x:c r="B12" s="80" t="str">
        <x:v>040</x:v>
      </x:c>
      <x:c r="C12" s="25" t="str">
        <x:v>Blade Maelstrom</x:v>
      </x:c>
      <x:c r="D12" s="25" t="str">
        <x:v>activated</x:v>
      </x:c>
      <x:c r="E12" s="36"/>
      <x:c r="F12" s="36"/>
      <x:c r="G12" s="25" t="str">
        <x:v>Emits a rotating barrage of blades around the tower.</x:v>
      </x:c>
      <x:c r="H12" s="25" t="str">
        <x:v>not_fully_normalized</x:v>
      </x:c>
      <x:c r="I12" s="25" t="str">
        <x:v>https://raw.githubusercontent.com/Btd6ModHelper/btd6-game-data/main/Towers/TackShooter/TackShooter-040.json</x:v>
      </x:c>
      <x:c r="J12" s="25" t="str">
        <x:v>https://raw.githubusercontent.com/Btd6ModHelper/btd6-game-data/main/textTable.json</x:v>
      </x:c>
      <x:c r="K12" s="25"/>
    </x:row>
    <x:row r="13" ht="95" customHeight="1">
      <x:c r="A13" s="25" t="str">
        <x:v>Tack Shooter</x:v>
      </x:c>
      <x:c r="B13" s="80" t="str">
        <x:v>050</x:v>
      </x:c>
      <x:c r="C13" s="25" t="str">
        <x:v>Super Maelstrom</x:v>
      </x:c>
      <x:c r="D13" s="25" t="str">
        <x:v>activated</x:v>
      </x:c>
      <x:c r="E13" s="36"/>
      <x:c r="F13" s="36"/>
      <x:c r="G13" s="25" t="str">
        <x:v>Emits a stronger, longer blade barrage.</x:v>
      </x:c>
      <x:c r="H13" s="25" t="str">
        <x:v>not_fully_normalized</x:v>
      </x:c>
      <x:c r="I13" s="25" t="str">
        <x:v>https://raw.githubusercontent.com/Btd6ModHelper/btd6-game-data/main/Towers/TackShooter/TackShooter-050.json</x:v>
      </x:c>
      <x:c r="J13" s="25" t="str">
        <x:v>https://raw.githubusercontent.com/Btd6ModHelper/btd6-game-data/main/textTable.json</x:v>
      </x:c>
      <x:c r="K13" s="25"/>
    </x:row>
    <x:row r="14" ht="95" customHeight="1">
      <x:c r="A14" s="25" t="str">
        <x:v>Ice Monkey</x:v>
      </x:c>
      <x:c r="B14" s="80" t="str">
        <x:v>040</x:v>
      </x:c>
      <x:c r="C14" s="25" t="str">
        <x:v>Snowstorm</x:v>
      </x:c>
      <x:c r="D14" s="25" t="str">
        <x:v>activated</x:v>
      </x:c>
      <x:c r="E14" s="36"/>
      <x:c r="F14" s="36"/>
      <x:c r="G14" s="25" t="str">
        <x:v>Freezes ordinary Bloons across the map and slows eligible MOAB-class targets.</x:v>
      </x:c>
      <x:c r="H14" s="25" t="str">
        <x:v>not_fully_normalized</x:v>
      </x:c>
      <x:c r="I14" s="25" t="str">
        <x:v>https://raw.githubusercontent.com/Btd6ModHelper/btd6-game-data/main/Towers/IceMonkey/IceMonkey-040.json</x:v>
      </x:c>
      <x:c r="J14" s="25" t="str">
        <x:v>https://raw.githubusercontent.com/Btd6ModHelper/btd6-game-data/main/textTable.json</x:v>
      </x:c>
      <x:c r="K14" s="25"/>
    </x:row>
    <x:row r="15" ht="95" customHeight="1">
      <x:c r="A15" s="25" t="str">
        <x:v>Ice Monkey</x:v>
      </x:c>
      <x:c r="B15" s="80" t="str">
        <x:v>050</x:v>
      </x:c>
      <x:c r="C15" s="25" t="str">
        <x:v>Absolute Zero</x:v>
      </x:c>
      <x:c r="D15" s="25" t="str">
        <x:v>activated</x:v>
      </x:c>
      <x:c r="E15" s="36"/>
      <x:c r="F15" s="36"/>
      <x:c r="G15" s="25" t="str">
        <x:v>Strengthens the global freeze and grants Ice Monkey support effects.</x:v>
      </x:c>
      <x:c r="H15" s="25" t="str">
        <x:v>not_fully_normalized</x:v>
      </x:c>
      <x:c r="I15" s="25" t="str">
        <x:v>https://raw.githubusercontent.com/Btd6ModHelper/btd6-game-data/main/Towers/IceMonkey/IceMonkey-050.json</x:v>
      </x:c>
      <x:c r="J15" s="25" t="str">
        <x:v>https://raw.githubusercontent.com/Btd6ModHelper/btd6-game-data/main/textTable.json</x:v>
      </x:c>
      <x:c r="K15" s="25"/>
    </x:row>
    <x:row r="16" ht="95" customHeight="1">
      <x:c r="A16" s="25" t="str">
        <x:v>Glue Gunner</x:v>
      </x:c>
      <x:c r="B16" s="80" t="str">
        <x:v>040</x:v>
      </x:c>
      <x:c r="C16" s="25" t="str">
        <x:v>Glue Strike</x:v>
      </x:c>
      <x:c r="D16" s="25" t="str">
        <x:v>activated</x:v>
      </x:c>
      <x:c r="E16" s="36"/>
      <x:c r="F16" s="36"/>
      <x:c r="G16" s="25" t="str">
        <x:v>Applies global glue with Lead-immunity removal and increased damage taken.</x:v>
      </x:c>
      <x:c r="H16" s="25" t="str">
        <x:v>not_fully_normalized</x:v>
      </x:c>
      <x:c r="I16" s="25" t="str">
        <x:v>https://raw.githubusercontent.com/Btd6ModHelper/btd6-game-data/main/Towers/GlueGunner/GlueGunner-040.json</x:v>
      </x:c>
      <x:c r="J16" s="25" t="str">
        <x:v>https://raw.githubusercontent.com/Btd6ModHelper/btd6-game-data/main/textTable.json</x:v>
      </x:c>
      <x:c r="K16" s="25"/>
    </x:row>
    <x:row r="17" ht="95" customHeight="1">
      <x:c r="A17" s="25" t="str">
        <x:v>Glue Gunner</x:v>
      </x:c>
      <x:c r="B17" s="80" t="str">
        <x:v>050</x:v>
      </x:c>
      <x:c r="C17" s="25" t="str">
        <x:v>Glue Storm</x:v>
      </x:c>
      <x:c r="D17" s="25" t="str">
        <x:v>activated</x:v>
      </x:c>
      <x:c r="E17" s="36"/>
      <x:c r="F17" s="36"/>
      <x:c r="G17" s="25" t="str">
        <x:v>Repeatedly applies the global glue effect over a duration.</x:v>
      </x:c>
      <x:c r="H17" s="25" t="str">
        <x:v>not_fully_normalized</x:v>
      </x:c>
      <x:c r="I17" s="25" t="str">
        <x:v>https://raw.githubusercontent.com/Btd6ModHelper/btd6-game-data/main/Towers/GlueGunner/GlueGunner-050.json</x:v>
      </x:c>
      <x:c r="J17" s="25" t="str">
        <x:v>https://raw.githubusercontent.com/Btd6ModHelper/btd6-game-data/main/textTable.json</x:v>
      </x:c>
      <x:c r="K17" s="25"/>
    </x:row>
    <x:row r="18" ht="95" customHeight="1">
      <x:c r="A18" s="25" t="str">
        <x:v>Desperado</x:v>
      </x:c>
      <x:c r="B18" s="80" t="str">
        <x:v>030</x:v>
      </x:c>
      <x:c r="C18" s="25" t="str">
        <x:v>Take Aim</x:v>
      </x:c>
      <x:c r="D18" s="25" t="str">
        <x:v>activated_targeted_support</x:v>
      </x:c>
      <x:c r="E18" s="36" t="n">
        <x:v>30</x:v>
      </x:c>
      <x:c r="F18" s="36"/>
      <x:c r="G18" s="25" t="str">
        <x:v>Temporarily grants a selected tower more range, better accuracy, and Camo detection.</x:v>
      </x:c>
      <x:c r="H18" s="25" t="str">
        <x:v>cooldown_verified</x:v>
      </x:c>
      <x:c r="I18" s="25" t="str">
        <x:v>https://raw.githubusercontent.com/Btd6ModHelper/btd6-game-data/main/Towers/Desperado/Desperado-030.json</x:v>
      </x:c>
      <x:c r="J18" s="25" t="str">
        <x:v>https://raw.githubusercontent.com/Btd6ModHelper/btd6-game-data/main/textTable.json</x:v>
      </x:c>
      <x:c r="K18" s="25" t="str">
        <x:v>https://raw.githubusercontent.com/Btd6ModHelper/btd6-game-data/main/Towers/Desperado/Desperado-040.json</x:v>
      </x:c>
    </x:row>
    <x:row r="19" ht="95" customHeight="1">
      <x:c r="A19" s="25" t="str">
        <x:v>Desperado</x:v>
      </x:c>
      <x:c r="B19" s="80" t="str">
        <x:v>040</x:v>
      </x:c>
      <x:c r="C19" s="25" t="str">
        <x:v>Marked to Pop</x:v>
      </x:c>
      <x:c r="D19" s="25" t="str">
        <x:v>activated_targeted_debuff</x:v>
      </x:c>
      <x:c r="E19" s="36" t="n">
        <x:v>45</x:v>
      </x:c>
      <x:c r="F19" s="36"/>
      <x:c r="G19" s="25" t="str">
        <x:v>Marks a target to take extra Desperado damage and yield additional pop cash. The inspected model has a 2x Desperado-damage multiplier and a 2x pop-cash multiplier.</x:v>
      </x:c>
      <x:c r="H19" s="25" t="str">
        <x:v>cooldown_verified</x:v>
      </x:c>
      <x:c r="I19" s="25" t="str">
        <x:v>https://raw.githubusercontent.com/Btd6ModHelper/btd6-game-data/main/Towers/Desperado/Desperado-040.json</x:v>
      </x:c>
      <x:c r="J19" s="25" t="str">
        <x:v>https://raw.githubusercontent.com/Btd6ModHelper/btd6-game-data/main/textTable.json</x:v>
      </x:c>
      <x:c r="K19" s="25" t="str">
        <x:v>https://raw.githubusercontent.com/Btd6ModHelper/btd6-game-data/main/Towers/Desperado/Desperado-040.json</x:v>
      </x:c>
    </x:row>
    <x:row r="20" ht="95" customHeight="1">
      <x:c r="A20" s="25" t="str">
        <x:v>Desperado</x:v>
      </x:c>
      <x:c r="B20" s="80" t="str">
        <x:v>002</x:v>
      </x:c>
      <x:c r="C20" s="25" t="str">
        <x:v>Nomad life-loss response</x:v>
      </x:c>
      <x:c r="D20" s="25" t="str">
        <x:v>automatic_emergency</x:v>
      </x:c>
      <x:c r="E20" s="36"/>
      <x:c r="F20" s="36"/>
      <x:c r="G20" s="25" t="str">
        <x:v>Can trigger temporary combat bonuses and cash recovery when lives are lost.</x:v>
      </x:c>
      <x:c r="H20" s="25" t="str">
        <x:v>not_fully_normalized</x:v>
      </x:c>
      <x:c r="I20" s="25" t="str">
        <x:v>https://raw.githubusercontent.com/Btd6ModHelper/btd6-game-data/main/Towers/Desperado/Desperado-002.json</x:v>
      </x:c>
      <x:c r="J20" s="25" t="str">
        <x:v>https://raw.githubusercontent.com/Btd6ModHelper/btd6-game-data/main/textTable.json</x:v>
      </x:c>
      <x:c r="K20" s="25"/>
    </x:row>
    <x:row r="21" ht="95" customHeight="1">
      <x:c r="A21" s="25" t="str">
        <x:v>Desperado</x:v>
      </x:c>
      <x:c r="B21" s="80" t="str">
        <x:v>004</x:v>
      </x:c>
      <x:c r="C21" s="25" t="str">
        <x:v>Avenger protection</x:v>
      </x:c>
      <x:c r="D21" s="25" t="str">
        <x:v>automatic_emergency</x:v>
      </x:c>
      <x:c r="E21" s="36"/>
      <x:c r="F21" s="36"/>
      <x:c r="G21" s="25" t="str">
        <x:v>Adds temporary protection against life loss under its trigger conditions.</x:v>
      </x:c>
      <x:c r="H21" s="25" t="str">
        <x:v>not_fully_normalized</x:v>
      </x:c>
      <x:c r="I21" s="25" t="str">
        <x:v>https://raw.githubusercontent.com/Btd6ModHelper/btd6-game-data/main/Towers/Desperado/Desperado-004.json</x:v>
      </x:c>
      <x:c r="J21" s="25" t="str">
        <x:v>https://raw.githubusercontent.com/Btd6ModHelper/btd6-game-data/main/textTable.json</x:v>
      </x:c>
      <x:c r="K21" s="25"/>
    </x:row>
    <x:row r="22" ht="95" customHeight="1">
      <x:c r="A22" s="25" t="str">
        <x:v>Sniper Monkey</x:v>
      </x:c>
      <x:c r="B22" s="80" t="str">
        <x:v>040</x:v>
      </x:c>
      <x:c r="C22" s="25" t="str">
        <x:v>Supply Drop</x:v>
      </x:c>
      <x:c r="D22" s="25" t="str">
        <x:v>activated</x:v>
      </x:c>
      <x:c r="E22" s="36"/>
      <x:c r="F22" s="36"/>
      <x:c r="G22" s="25" t="str">
        <x:v>Drops a collectible cash crate.</x:v>
      </x:c>
      <x:c r="H22" s="25" t="str">
        <x:v>not_fully_normalized</x:v>
      </x:c>
      <x:c r="I22" s="25" t="str">
        <x:v>https://raw.githubusercontent.com/Btd6ModHelper/btd6-game-data/main/Towers/SniperMonkey/SniperMonkey-040.json</x:v>
      </x:c>
      <x:c r="J22" s="25" t="str">
        <x:v>https://raw.githubusercontent.com/Btd6ModHelper/btd6-game-data/main/textTable.json</x:v>
      </x:c>
      <x:c r="K22" s="25"/>
    </x:row>
    <x:row r="23" ht="95" customHeight="1">
      <x:c r="A23" s="25" t="str">
        <x:v>Sniper Monkey</x:v>
      </x:c>
      <x:c r="B23" s="80" t="str">
        <x:v>050</x:v>
      </x:c>
      <x:c r="C23" s="25" t="str">
        <x:v>Elite Supply Drop</x:v>
      </x:c>
      <x:c r="D23" s="25" t="str">
        <x:v>activated</x:v>
      </x:c>
      <x:c r="E23" s="36"/>
      <x:c r="F23" s="36"/>
      <x:c r="G23" s="25" t="str">
        <x:v>Improves the cash crate ability; this is a descriptive label for the upgraded Supply Drop.</x:v>
      </x:c>
      <x:c r="H23" s="25" t="str">
        <x:v>not_fully_normalized</x:v>
      </x:c>
      <x:c r="I23" s="25" t="str">
        <x:v>https://raw.githubusercontent.com/Btd6ModHelper/btd6-game-data/main/Towers/SniperMonkey/SniperMonkey-050.json</x:v>
      </x:c>
      <x:c r="J23" s="25" t="str">
        <x:v>https://raw.githubusercontent.com/Btd6ModHelper/btd6-game-data/main/textTable.json</x:v>
      </x:c>
      <x:c r="K23" s="25"/>
    </x:row>
    <x:row r="24" ht="95" customHeight="1">
      <x:c r="A24" s="25" t="str">
        <x:v>Sniper Monkey</x:v>
      </x:c>
      <x:c r="B24" s="80" t="str">
        <x:v>005</x:v>
      </x:c>
      <x:c r="C24" s="25" t="str">
        <x:v>Elite Defender retaliation</x:v>
      </x:c>
      <x:c r="D24" s="25" t="str">
        <x:v>automatic_emergency</x:v>
      </x:c>
      <x:c r="E24" s="36"/>
      <x:c r="F24" s="36"/>
      <x:c r="G24" s="25" t="str">
        <x:v>Temporarily increases attack speed when lives are lost.</x:v>
      </x:c>
      <x:c r="H24" s="25" t="str">
        <x:v>not_fully_normalized</x:v>
      </x:c>
      <x:c r="I24" s="25" t="str">
        <x:v>https://raw.githubusercontent.com/Btd6ModHelper/btd6-game-data/main/Towers/SniperMonkey/SniperMonkey-005.json</x:v>
      </x:c>
      <x:c r="J24" s="25" t="str">
        <x:v>https://raw.githubusercontent.com/Btd6ModHelper/btd6-game-data/main/textTable.json</x:v>
      </x:c>
      <x:c r="K24" s="25"/>
    </x:row>
    <x:row r="25" ht="95" customHeight="1">
      <x:c r="A25" s="25" t="str">
        <x:v>Monkey Sub</x:v>
      </x:c>
      <x:c r="B25" s="80" t="str">
        <x:v>300</x:v>
      </x:c>
      <x:c r="C25" s="25" t="str">
        <x:v>Submerge</x:v>
      </x:c>
      <x:c r="D25" s="25" t="str">
        <x:v>mode_switch</x:v>
      </x:c>
      <x:c r="E25" s="36"/>
      <x:c r="F25" s="36"/>
      <x:c r="G25" s="25" t="str">
        <x:v>Stops normal dart attacks and activates the submerged support behavior.</x:v>
      </x:c>
      <x:c r="H25" s="25" t="str">
        <x:v>not_fully_normalized</x:v>
      </x:c>
      <x:c r="I25" s="25" t="str">
        <x:v>https://raw.githubusercontent.com/Btd6ModHelper/btd6-game-data/main/Towers/MonkeySub/MonkeySub-300.json</x:v>
      </x:c>
      <x:c r="J25" s="25" t="str">
        <x:v>https://raw.githubusercontent.com/Btd6ModHelper/btd6-game-data/main/textTable.json</x:v>
      </x:c>
      <x:c r="K25" s="25"/>
    </x:row>
    <x:row r="26" ht="95" customHeight="1">
      <x:c r="A26" s="25" t="str">
        <x:v>Monkey Sub</x:v>
      </x:c>
      <x:c r="B26" s="80" t="str">
        <x:v>040</x:v>
      </x:c>
      <x:c r="C26" s="25" t="str">
        <x:v>First Strike Capability</x:v>
      </x:c>
      <x:c r="D26" s="25" t="str">
        <x:v>activated</x:v>
      </x:c>
      <x:c r="E26" s="36"/>
      <x:c r="F26" s="36"/>
      <x:c r="G26" s="25" t="str">
        <x:v>Launches a high-damage missile at the strongest target with an area explosion.</x:v>
      </x:c>
      <x:c r="H26" s="25" t="str">
        <x:v>not_fully_normalized</x:v>
      </x:c>
      <x:c r="I26" s="25" t="str">
        <x:v>https://raw.githubusercontent.com/Btd6ModHelper/btd6-game-data/main/Towers/MonkeySub/MonkeySub-040.json</x:v>
      </x:c>
      <x:c r="J26" s="25" t="str">
        <x:v>https://raw.githubusercontent.com/Btd6ModHelper/btd6-game-data/main/textTable.json</x:v>
      </x:c>
      <x:c r="K26" s="25"/>
    </x:row>
    <x:row r="27" ht="95" customHeight="1">
      <x:c r="A27" s="25" t="str">
        <x:v>Monkey Sub</x:v>
      </x:c>
      <x:c r="B27" s="80" t="str">
        <x:v>050</x:v>
      </x:c>
      <x:c r="C27" s="25" t="str">
        <x:v>Pre-emptive missiles</x:v>
      </x:c>
      <x:c r="D27" s="25" t="str">
        <x:v>automatic_on_entry</x:v>
      </x:c>
      <x:c r="E27" s="36"/>
      <x:c r="F27" s="36"/>
      <x:c r="G27" s="25" t="str">
        <x:v>Automatically attacks newly entering MOAB-class targets; the activated missile remains available.</x:v>
      </x:c>
      <x:c r="H27" s="25" t="str">
        <x:v>not_fully_normalized</x:v>
      </x:c>
      <x:c r="I27" s="25" t="str">
        <x:v>https://raw.githubusercontent.com/Btd6ModHelper/btd6-game-data/main/Towers/MonkeySub/MonkeySub-050.json</x:v>
      </x:c>
      <x:c r="J27" s="25" t="str">
        <x:v>https://raw.githubusercontent.com/Btd6ModHelper/btd6-game-data/main/textTable.json</x:v>
      </x:c>
      <x:c r="K27" s="25"/>
    </x:row>
    <x:row r="28" ht="95" customHeight="1">
      <x:c r="A28" s="25" t="str">
        <x:v>Monkey Buccaneer</x:v>
      </x:c>
      <x:c r="B28" s="80" t="str">
        <x:v>040</x:v>
      </x:c>
      <x:c r="C28" s="25" t="str">
        <x:v>MOAB Takedown</x:v>
      </x:c>
      <x:c r="D28" s="25" t="str">
        <x:v>activated</x:v>
      </x:c>
      <x:c r="E28" s="36"/>
      <x:c r="F28" s="36"/>
      <x:c r="G28" s="25" t="str">
        <x:v>Harpoons an eligible MOAB-class target and removes it.</x:v>
      </x:c>
      <x:c r="H28" s="25" t="str">
        <x:v>not_fully_normalized</x:v>
      </x:c>
      <x:c r="I28" s="25" t="str">
        <x:v>https://raw.githubusercontent.com/Btd6ModHelper/btd6-game-data/main/Towers/MonkeyBuccaneer/MonkeyBuccaneer-040.json</x:v>
      </x:c>
      <x:c r="J28" s="25" t="str">
        <x:v>https://raw.githubusercontent.com/Btd6ModHelper/btd6-game-data/main/textTable.json</x:v>
      </x:c>
      <x:c r="K28" s="25"/>
    </x:row>
    <x:row r="29" ht="95" customHeight="1">
      <x:c r="A29" s="25" t="str">
        <x:v>Monkey Buccaneer</x:v>
      </x:c>
      <x:c r="B29" s="80" t="str">
        <x:v>050</x:v>
      </x:c>
      <x:c r="C29" s="25" t="str">
        <x:v>Pirate Lord takedown</x:v>
      </x:c>
      <x:c r="D29" s="25" t="str">
        <x:v>activated</x:v>
      </x:c>
      <x:c r="E29" s="36"/>
      <x:c r="F29" s="36"/>
      <x:c r="G29" s="25" t="str">
        <x:v>Upgrades the harpoon ability to capture multiple eligible targets and increases capture income.</x:v>
      </x:c>
      <x:c r="H29" s="25" t="str">
        <x:v>not_fully_normalized</x:v>
      </x:c>
      <x:c r="I29" s="25" t="str">
        <x:v>https://raw.githubusercontent.com/Btd6ModHelper/btd6-game-data/main/Towers/MonkeyBuccaneer/MonkeyBuccaneer-050.json</x:v>
      </x:c>
      <x:c r="J29" s="25" t="str">
        <x:v>https://raw.githubusercontent.com/Btd6ModHelper/btd6-game-data/main/textTable.json</x:v>
      </x:c>
      <x:c r="K29" s="25"/>
    </x:row>
    <x:row r="30" ht="95" customHeight="1">
      <x:c r="A30" s="25" t="str">
        <x:v>Monkey Ace</x:v>
      </x:c>
      <x:c r="B30" s="80" t="str">
        <x:v>040</x:v>
      </x:c>
      <x:c r="C30" s="25" t="str">
        <x:v>Ground Zero</x:v>
      </x:c>
      <x:c r="D30" s="25" t="str">
        <x:v>activated</x:v>
      </x:c>
      <x:c r="E30" s="36"/>
      <x:c r="F30" s="36"/>
      <x:c r="G30" s="25" t="str">
        <x:v>Detonates a map-wide bomb.</x:v>
      </x:c>
      <x:c r="H30" s="25" t="str">
        <x:v>not_fully_normalized</x:v>
      </x:c>
      <x:c r="I30" s="25" t="str">
        <x:v>https://raw.githubusercontent.com/Btd6ModHelper/btd6-game-data/main/Towers/MonkeyAce/MonkeyAce-040.json</x:v>
      </x:c>
      <x:c r="J30" s="25" t="str">
        <x:v>https://raw.githubusercontent.com/Btd6ModHelper/btd6-game-data/main/textTable.json</x:v>
      </x:c>
      <x:c r="K30" s="25"/>
    </x:row>
    <x:row r="31" ht="95" customHeight="1">
      <x:c r="A31" s="25" t="str">
        <x:v>Monkey Ace</x:v>
      </x:c>
      <x:c r="B31" s="80" t="str">
        <x:v>050</x:v>
      </x:c>
      <x:c r="C31" s="25" t="str">
        <x:v>Tsar Bomba</x:v>
      </x:c>
      <x:c r="D31" s="25" t="str">
        <x:v>activated</x:v>
      </x:c>
      <x:c r="E31" s="36"/>
      <x:c r="F31" s="36"/>
      <x:c r="G31" s="25" t="str">
        <x:v>Detonates a stronger map-wide bomb with control effects.</x:v>
      </x:c>
      <x:c r="H31" s="25" t="str">
        <x:v>not_fully_normalized</x:v>
      </x:c>
      <x:c r="I31" s="25" t="str">
        <x:v>https://raw.githubusercontent.com/Btd6ModHelper/btd6-game-data/main/Towers/MonkeyAce/MonkeyAce-050.json</x:v>
      </x:c>
      <x:c r="J31" s="25" t="str">
        <x:v>https://raw.githubusercontent.com/Btd6ModHelper/btd6-game-data/main/textTable.json</x:v>
      </x:c>
      <x:c r="K31" s="25"/>
    </x:row>
    <x:row r="32" ht="95" customHeight="1">
      <x:c r="A32" s="25" t="str">
        <x:v>Heli Pilot</x:v>
      </x:c>
      <x:c r="B32" s="80" t="str">
        <x:v>040</x:v>
      </x:c>
      <x:c r="C32" s="25" t="str">
        <x:v>Supply Drop</x:v>
      </x:c>
      <x:c r="D32" s="25" t="str">
        <x:v>activated</x:v>
      </x:c>
      <x:c r="E32" s="36"/>
      <x:c r="F32" s="36"/>
      <x:c r="G32" s="25" t="str">
        <x:v>Delivers cash and lives by helicopter.</x:v>
      </x:c>
      <x:c r="H32" s="25" t="str">
        <x:v>not_fully_normalized</x:v>
      </x:c>
      <x:c r="I32" s="25" t="str">
        <x:v>https://raw.githubusercontent.com/Btd6ModHelper/btd6-game-data/main/Towers/HeliPilot/HeliPilot-040.json</x:v>
      </x:c>
      <x:c r="J32" s="25" t="str">
        <x:v>https://raw.githubusercontent.com/Btd6ModHelper/btd6-game-data/main/textTable.json</x:v>
      </x:c>
      <x:c r="K32" s="25"/>
    </x:row>
    <x:row r="33" ht="95" customHeight="1">
      <x:c r="A33" s="25" t="str">
        <x:v>Heli Pilot</x:v>
      </x:c>
      <x:c r="B33" s="80" t="str">
        <x:v>040</x:v>
      </x:c>
      <x:c r="C33" s="25" t="str">
        <x:v>Redeploy</x:v>
      </x:c>
      <x:c r="D33" s="25" t="str">
        <x:v>activated_targeted_relocation</x:v>
      </x:c>
      <x:c r="E33" s="36"/>
      <x:c r="F33" s="36"/>
      <x:c r="G33" s="25" t="str">
        <x:v>Moves an eligible placed tower to a new legal position.</x:v>
      </x:c>
      <x:c r="H33" s="25" t="str">
        <x:v>not_fully_normalized</x:v>
      </x:c>
      <x:c r="I33" s="25" t="str">
        <x:v>https://raw.githubusercontent.com/Btd6ModHelper/btd6-game-data/main/Towers/HeliPilot/HeliPilot-040.json</x:v>
      </x:c>
      <x:c r="J33" s="25" t="str">
        <x:v>https://raw.githubusercontent.com/Btd6ModHelper/btd6-game-data/main/textTable.json</x:v>
      </x:c>
      <x:c r="K33" s="25"/>
    </x:row>
    <x:row r="34" ht="95" customHeight="1">
      <x:c r="A34" s="25" t="str">
        <x:v>Heli Pilot</x:v>
      </x:c>
      <x:c r="B34" s="80" t="str">
        <x:v>050</x:v>
      </x:c>
      <x:c r="C34" s="25" t="str">
        <x:v>Deploy Marine</x:v>
      </x:c>
      <x:c r="D34" s="25" t="str">
        <x:v>activated</x:v>
      </x:c>
      <x:c r="E34" s="36"/>
      <x:c r="F34" s="36"/>
      <x:c r="G34" s="25" t="str">
        <x:v>Temporarily deploys a powerful Monkey Marine.</x:v>
      </x:c>
      <x:c r="H34" s="25" t="str">
        <x:v>not_fully_normalized</x:v>
      </x:c>
      <x:c r="I34" s="25" t="str">
        <x:v>https://raw.githubusercontent.com/Btd6ModHelper/btd6-game-data/main/Towers/HeliPilot/HeliPilot-050.json</x:v>
      </x:c>
      <x:c r="J34" s="25" t="str">
        <x:v>https://raw.githubusercontent.com/Btd6ModHelper/btd6-game-data/main/textTable.json</x:v>
      </x:c>
      <x:c r="K34" s="25"/>
    </x:row>
    <x:row r="35" ht="95" customHeight="1">
      <x:c r="A35" s="25" t="str">
        <x:v>Heli Pilot</x:v>
      </x:c>
      <x:c r="B35" s="80" t="str">
        <x:v>004</x:v>
      </x:c>
      <x:c r="C35" s="25" t="str">
        <x:v>Comanche reinforcements</x:v>
      </x:c>
      <x:c r="D35" s="25" t="str">
        <x:v>automatic_conditional</x:v>
      </x:c>
      <x:c r="E35" s="36"/>
      <x:c r="F35" s="36"/>
      <x:c r="G35" s="25" t="str">
        <x:v>Calls temporary supporting helicopters when its pressure conditions are met.</x:v>
      </x:c>
      <x:c r="H35" s="25" t="str">
        <x:v>not_fully_normalized</x:v>
      </x:c>
      <x:c r="I35" s="25" t="str">
        <x:v>https://raw.githubusercontent.com/Btd6ModHelper/btd6-game-data/main/Towers/HeliPilot/HeliPilot-004.json</x:v>
      </x:c>
      <x:c r="J35" s="25" t="str">
        <x:v>https://raw.githubusercontent.com/Btd6ModHelper/btd6-game-data/main/textTable.json</x:v>
      </x:c>
      <x:c r="K35" s="25"/>
    </x:row>
    <x:row r="36" ht="95" customHeight="1">
      <x:c r="A36" s="25" t="str">
        <x:v>Mortar Monkey</x:v>
      </x:c>
      <x:c r="B36" s="80" t="str">
        <x:v>040</x:v>
      </x:c>
      <x:c r="C36" s="25" t="str">
        <x:v>Bombardment</x:v>
      </x:c>
      <x:c r="D36" s="25" t="str">
        <x:v>activated</x:v>
      </x:c>
      <x:c r="E36" s="36"/>
      <x:c r="F36" s="36"/>
      <x:c r="G36" s="25" t="str">
        <x:v>Temporarily increases the Artillery Battery's firing rate.</x:v>
      </x:c>
      <x:c r="H36" s="25" t="str">
        <x:v>not_fully_normalized</x:v>
      </x:c>
      <x:c r="I36" s="25" t="str">
        <x:v>https://raw.githubusercontent.com/Btd6ModHelper/btd6-game-data/main/Towers/MortarMonkey/MortarMonkey-040.json</x:v>
      </x:c>
      <x:c r="J36" s="25" t="str">
        <x:v>https://raw.githubusercontent.com/Btd6ModHelper/btd6-game-data/main/textTable.json</x:v>
      </x:c>
      <x:c r="K36" s="25"/>
    </x:row>
    <x:row r="37" ht="95" customHeight="1">
      <x:c r="A37" s="25" t="str">
        <x:v>Mortar Monkey</x:v>
      </x:c>
      <x:c r="B37" s="80" t="str">
        <x:v>050</x:v>
      </x:c>
      <x:c r="C37" s="25" t="str">
        <x:v>Pop and Awe</x:v>
      </x:c>
      <x:c r="D37" s="25" t="str">
        <x:v>activated</x:v>
      </x:c>
      <x:c r="E37" s="36"/>
      <x:c r="F37" s="36"/>
      <x:c r="G37" s="25" t="str">
        <x:v>Applies map-wide damage and stuns to eligible targets.</x:v>
      </x:c>
      <x:c r="H37" s="25" t="str">
        <x:v>not_fully_normalized</x:v>
      </x:c>
      <x:c r="I37" s="25" t="str">
        <x:v>https://raw.githubusercontent.com/Btd6ModHelper/btd6-game-data/main/Towers/MortarMonkey/MortarMonkey-050.json</x:v>
      </x:c>
      <x:c r="J37" s="25" t="str">
        <x:v>https://raw.githubusercontent.com/Btd6ModHelper/btd6-game-data/main/textTable.json</x:v>
      </x:c>
      <x:c r="K37" s="25"/>
    </x:row>
    <x:row r="38" ht="95" customHeight="1">
      <x:c r="A38" s="25" t="str">
        <x:v>Dartling Gunner</x:v>
      </x:c>
      <x:c r="B38" s="80" t="str">
        <x:v>040</x:v>
      </x:c>
      <x:c r="C38" s="25" t="str">
        <x:v>Rocket Storm</x:v>
      </x:c>
      <x:c r="D38" s="25" t="str">
        <x:v>activated</x:v>
      </x:c>
      <x:c r="E38" s="36"/>
      <x:c r="F38" s="36"/>
      <x:c r="G38" s="25" t="str">
        <x:v>Fires a temporary guided rocket barrage.</x:v>
      </x:c>
      <x:c r="H38" s="25" t="str">
        <x:v>not_fully_normalized</x:v>
      </x:c>
      <x:c r="I38" s="25" t="str">
        <x:v>https://raw.githubusercontent.com/Btd6ModHelper/btd6-game-data/main/Towers/DartlingGunner/DartlingGunner-040.json</x:v>
      </x:c>
      <x:c r="J38" s="25" t="str">
        <x:v>https://raw.githubusercontent.com/Btd6ModHelper/btd6-game-data/main/textTable.json</x:v>
      </x:c>
      <x:c r="K38" s="25"/>
    </x:row>
    <x:row r="39" ht="95" customHeight="1">
      <x:c r="A39" s="25" t="str">
        <x:v>Dartling Gunner</x:v>
      </x:c>
      <x:c r="B39" s="80" t="str">
        <x:v>050</x:v>
      </x:c>
      <x:c r="C39" s="25" t="str">
        <x:v>M.A.D Rocket Storm</x:v>
      </x:c>
      <x:c r="D39" s="25" t="str">
        <x:v>activated</x:v>
      </x:c>
      <x:c r="E39" s="36"/>
      <x:c r="F39" s="36"/>
      <x:c r="G39" s="25" t="str">
        <x:v>Retains an upgraded missile-barrage ability; the label identifies the M.A.D variant.</x:v>
      </x:c>
      <x:c r="H39" s="25" t="str">
        <x:v>not_fully_normalized</x:v>
      </x:c>
      <x:c r="I39" s="25" t="str">
        <x:v>https://raw.githubusercontent.com/Btd6ModHelper/btd6-game-data/main/Towers/DartlingGunner/DartlingGunner-050.json</x:v>
      </x:c>
      <x:c r="J39" s="25" t="str">
        <x:v>https://raw.githubusercontent.com/Btd6ModHelper/btd6-game-data/main/textTable.json</x:v>
      </x:c>
      <x:c r="K39" s="25"/>
    </x:row>
    <x:row r="40" ht="95" customHeight="1">
      <x:c r="A40" s="25" t="str">
        <x:v>Wizard Monkey</x:v>
      </x:c>
      <x:c r="B40" s="80" t="str">
        <x:v>040</x:v>
      </x:c>
      <x:c r="C40" s="25" t="str">
        <x:v>Summon Phoenix</x:v>
      </x:c>
      <x:c r="D40" s="25" t="str">
        <x:v>activated</x:v>
      </x:c>
      <x:c r="E40" s="36"/>
      <x:c r="F40" s="36"/>
      <x:c r="G40" s="25" t="str">
        <x:v>Summons a temporary attacking Phoenix.</x:v>
      </x:c>
      <x:c r="H40" s="25" t="str">
        <x:v>not_fully_normalized</x:v>
      </x:c>
      <x:c r="I40" s="25" t="str">
        <x:v>https://raw.githubusercontent.com/Btd6ModHelper/btd6-game-data/main/Towers/WizardMonkey/WizardMonkey-040.json</x:v>
      </x:c>
      <x:c r="J40" s="25" t="str">
        <x:v>https://raw.githubusercontent.com/Btd6ModHelper/btd6-game-data/main/textTable.json</x:v>
      </x:c>
      <x:c r="K40" s="25"/>
    </x:row>
    <x:row r="41" ht="95" customHeight="1">
      <x:c r="A41" s="25" t="str">
        <x:v>Wizard Monkey</x:v>
      </x:c>
      <x:c r="B41" s="80" t="str">
        <x:v>050</x:v>
      </x:c>
      <x:c r="C41" s="25" t="str">
        <x:v>Wizard Lord Phoenix</x:v>
      </x:c>
      <x:c r="D41" s="25" t="str">
        <x:v>activated</x:v>
      </x:c>
      <x:c r="E41" s="36"/>
      <x:c r="F41" s="36"/>
      <x:c r="G41" s="25" t="str">
        <x:v>Activates a stronger Phoenix form and fire attacks.</x:v>
      </x:c>
      <x:c r="H41" s="25" t="str">
        <x:v>not_fully_normalized</x:v>
      </x:c>
      <x:c r="I41" s="25" t="str">
        <x:v>https://raw.githubusercontent.com/Btd6ModHelper/btd6-game-data/main/Towers/WizardMonkey/WizardMonkey-050.json</x:v>
      </x:c>
      <x:c r="J41" s="25" t="str">
        <x:v>https://raw.githubusercontent.com/Btd6ModHelper/btd6-game-data/main/textTable.json</x:v>
      </x:c>
      <x:c r="K41" s="25"/>
    </x:row>
    <x:row r="42" ht="95" customHeight="1">
      <x:c r="A42" s="25" t="str">
        <x:v>Super Monkey</x:v>
      </x:c>
      <x:c r="B42" s="80" t="str">
        <x:v>040</x:v>
      </x:c>
      <x:c r="C42" s="25" t="str">
        <x:v>Annihilation</x:v>
      </x:c>
      <x:c r="D42" s="25" t="str">
        <x:v>activated</x:v>
      </x:c>
      <x:c r="E42" s="36"/>
      <x:c r="F42" s="36"/>
      <x:c r="G42" s="25" t="str">
        <x:v>Deals a large burst of damage around the tower.</x:v>
      </x:c>
      <x:c r="H42" s="25" t="str">
        <x:v>not_fully_normalized</x:v>
      </x:c>
      <x:c r="I42" s="25" t="str">
        <x:v>https://raw.githubusercontent.com/Btd6ModHelper/btd6-game-data/main/Towers/SuperMonkey/SuperMonkey-040.json</x:v>
      </x:c>
      <x:c r="J42" s="25" t="str">
        <x:v>https://raw.githubusercontent.com/Btd6ModHelper/btd6-game-data/main/textTable.json</x:v>
      </x:c>
      <x:c r="K42" s="25"/>
    </x:row>
    <x:row r="43" ht="95" customHeight="1">
      <x:c r="A43" s="25" t="str">
        <x:v>Super Monkey</x:v>
      </x:c>
      <x:c r="B43" s="80" t="str">
        <x:v>050</x:v>
      </x:c>
      <x:c r="C43" s="25" t="str">
        <x:v>Anti-Bloon Annihilation</x:v>
      </x:c>
      <x:c r="D43" s="25" t="str">
        <x:v>activated</x:v>
      </x:c>
      <x:c r="E43" s="36"/>
      <x:c r="F43" s="36"/>
      <x:c r="G43" s="25" t="str">
        <x:v>Upgrades the area-damage ability; the label distinguishes the tier-five form.</x:v>
      </x:c>
      <x:c r="H43" s="25" t="str">
        <x:v>not_fully_normalized</x:v>
      </x:c>
      <x:c r="I43" s="25" t="str">
        <x:v>https://raw.githubusercontent.com/Btd6ModHelper/btd6-game-data/main/Towers/SuperMonkey/SuperMonkey-050.json</x:v>
      </x:c>
      <x:c r="J43" s="25" t="str">
        <x:v>https://raw.githubusercontent.com/Btd6ModHelper/btd6-game-data/main/textTable.json</x:v>
      </x:c>
      <x:c r="K43" s="25"/>
    </x:row>
    <x:row r="44" ht="95" customHeight="1">
      <x:c r="A44" s="25" t="str">
        <x:v>Super Monkey</x:v>
      </x:c>
      <x:c r="B44" s="80" t="str">
        <x:v>003</x:v>
      </x:c>
      <x:c r="C44" s="25" t="str">
        <x:v>Darkshift</x:v>
      </x:c>
      <x:c r="D44" s="25" t="str">
        <x:v>activated_targeted_relocation</x:v>
      </x:c>
      <x:c r="E44" s="36"/>
      <x:c r="F44" s="36"/>
      <x:c r="G44" s="25" t="str">
        <x:v>Teleports the tower to a nearby legal position.</x:v>
      </x:c>
      <x:c r="H44" s="25" t="str">
        <x:v>not_fully_normalized</x:v>
      </x:c>
      <x:c r="I44" s="25" t="str">
        <x:v>https://raw.githubusercontent.com/Btd6ModHelper/btd6-game-data/main/Towers/SuperMonkey/SuperMonkey-003.json</x:v>
      </x:c>
      <x:c r="J44" s="25" t="str">
        <x:v>https://raw.githubusercontent.com/Btd6ModHelper/btd6-game-data/main/textTable.json</x:v>
      </x:c>
      <x:c r="K44" s="25"/>
    </x:row>
    <x:row r="45" ht="95" customHeight="1">
      <x:c r="A45" s="25" t="str">
        <x:v>Super Monkey</x:v>
      </x:c>
      <x:c r="B45" s="80" t="str">
        <x:v>004</x:v>
      </x:c>
      <x:c r="C45" s="25" t="str">
        <x:v>Darkshift, global</x:v>
      </x:c>
      <x:c r="D45" s="25" t="str">
        <x:v>activated_targeted_relocation</x:v>
      </x:c>
      <x:c r="E45" s="36"/>
      <x:c r="F45" s="36"/>
      <x:c r="G45" s="25" t="str">
        <x:v>Extends teleport placement to the map.</x:v>
      </x:c>
      <x:c r="H45" s="25" t="str">
        <x:v>not_fully_normalized</x:v>
      </x:c>
      <x:c r="I45" s="25" t="str">
        <x:v>https://raw.githubusercontent.com/Btd6ModHelper/btd6-game-data/main/Towers/SuperMonkey/SuperMonkey-004.json</x:v>
      </x:c>
      <x:c r="J45" s="25" t="str">
        <x:v>https://raw.githubusercontent.com/Btd6ModHelper/btd6-game-data/main/textTable.json</x:v>
      </x:c>
      <x:c r="K45" s="25"/>
    </x:row>
    <x:row r="46" ht="95" customHeight="1">
      <x:c r="A46" s="25" t="str">
        <x:v>Super Monkey</x:v>
      </x:c>
      <x:c r="B46" s="80" t="str">
        <x:v>005</x:v>
      </x:c>
      <x:c r="C46" s="25" t="str">
        <x:v>Legend of the Night black hole</x:v>
      </x:c>
      <x:c r="D46" s="25" t="str">
        <x:v>automatic_emergency</x:v>
      </x:c>
      <x:c r="E46" s="36"/>
      <x:c r="F46" s="36"/>
      <x:c r="G46" s="25" t="str">
        <x:v>Temporarily absorbs leaking enemies when its emergency condition activates.</x:v>
      </x:c>
      <x:c r="H46" s="25" t="str">
        <x:v>not_fully_normalized</x:v>
      </x:c>
      <x:c r="I46" s="25" t="str">
        <x:v>https://raw.githubusercontent.com/Btd6ModHelper/btd6-game-data/main/Towers/SuperMonkey/SuperMonkey-005.json</x:v>
      </x:c>
      <x:c r="J46" s="25" t="str">
        <x:v>https://raw.githubusercontent.com/Btd6ModHelper/btd6-game-data/main/textTable.json</x:v>
      </x:c>
      <x:c r="K46" s="25"/>
    </x:row>
    <x:row r="47" ht="95" customHeight="1">
      <x:c r="A47" s="25" t="str">
        <x:v>Ninja Monkey</x:v>
      </x:c>
      <x:c r="B47" s="80" t="str">
        <x:v>040</x:v>
      </x:c>
      <x:c r="C47" s="25" t="str">
        <x:v>Bloon Sabotage</x:v>
      </x:c>
      <x:c r="D47" s="25" t="str">
        <x:v>activated</x:v>
      </x:c>
      <x:c r="E47" s="36"/>
      <x:c r="F47" s="36"/>
      <x:c r="G47" s="25" t="str">
        <x:v>Temporarily slows eligible enemies across the map.</x:v>
      </x:c>
      <x:c r="H47" s="25" t="str">
        <x:v>not_fully_normalized</x:v>
      </x:c>
      <x:c r="I47" s="25" t="str">
        <x:v>https://raw.githubusercontent.com/Btd6ModHelper/btd6-game-data/main/Towers/NinjaMonkey/NinjaMonkey-040.json</x:v>
      </x:c>
      <x:c r="J47" s="25" t="str">
        <x:v>https://raw.githubusercontent.com/Btd6ModHelper/btd6-game-data/main/textTable.json</x:v>
      </x:c>
      <x:c r="K47" s="25"/>
    </x:row>
    <x:row r="48" ht="95" customHeight="1">
      <x:c r="A48" s="25" t="str">
        <x:v>Ninja Monkey</x:v>
      </x:c>
      <x:c r="B48" s="80" t="str">
        <x:v>050</x:v>
      </x:c>
      <x:c r="C48" s="25" t="str">
        <x:v>Grand Sabotage</x:v>
      </x:c>
      <x:c r="D48" s="25" t="str">
        <x:v>activated</x:v>
      </x:c>
      <x:c r="E48" s="36"/>
      <x:c r="F48" s="36"/>
      <x:c r="G48" s="25" t="str">
        <x:v>Extends sabotage and reduces health of newly entering eligible MOAB-class targets.</x:v>
      </x:c>
      <x:c r="H48" s="25" t="str">
        <x:v>not_fully_normalized</x:v>
      </x:c>
      <x:c r="I48" s="25" t="str">
        <x:v>https://raw.githubusercontent.com/Btd6ModHelper/btd6-game-data/main/Towers/NinjaMonkey/NinjaMonkey-050.json</x:v>
      </x:c>
      <x:c r="J48" s="25" t="str">
        <x:v>https://raw.githubusercontent.com/Btd6ModHelper/btd6-game-data/main/textTable.json</x:v>
      </x:c>
      <x:c r="K48" s="25"/>
    </x:row>
    <x:row r="49" ht="95" customHeight="1">
      <x:c r="A49" s="25" t="str">
        <x:v>Alchemist</x:v>
      </x:c>
      <x:c r="B49" s="80" t="str">
        <x:v>040</x:v>
      </x:c>
      <x:c r="C49" s="25" t="str">
        <x:v>Transforming Tonic</x:v>
      </x:c>
      <x:c r="D49" s="25" t="str">
        <x:v>activated</x:v>
      </x:c>
      <x:c r="E49" s="36"/>
      <x:c r="F49" s="36"/>
      <x:c r="G49" s="25" t="str">
        <x:v>Temporarily transforms the Alchemist into a rapid-attacking monster.</x:v>
      </x:c>
      <x:c r="H49" s="25" t="str">
        <x:v>not_fully_normalized</x:v>
      </x:c>
      <x:c r="I49" s="25" t="str">
        <x:v>https://raw.githubusercontent.com/Btd6ModHelper/btd6-game-data/main/Towers/Alchemist/Alchemist-040.json</x:v>
      </x:c>
      <x:c r="J49" s="25" t="str">
        <x:v>https://raw.githubusercontent.com/Btd6ModHelper/btd6-game-data/main/textTable.json</x:v>
      </x:c>
      <x:c r="K49" s="25"/>
    </x:row>
    <x:row r="50" ht="95" customHeight="1">
      <x:c r="A50" s="25" t="str">
        <x:v>Alchemist</x:v>
      </x:c>
      <x:c r="B50" s="80" t="str">
        <x:v>050</x:v>
      </x:c>
      <x:c r="C50" s="25" t="str">
        <x:v>Total Transformation</x:v>
      </x:c>
      <x:c r="D50" s="25" t="str">
        <x:v>activated</x:v>
      </x:c>
      <x:c r="E50" s="36"/>
      <x:c r="F50" s="36"/>
      <x:c r="G50" s="25" t="str">
        <x:v>Temporarily transforms eligible nearby towers into attacking monsters.</x:v>
      </x:c>
      <x:c r="H50" s="25" t="str">
        <x:v>not_fully_normalized</x:v>
      </x:c>
      <x:c r="I50" s="25" t="str">
        <x:v>https://raw.githubusercontent.com/Btd6ModHelper/btd6-game-data/main/Towers/Alchemist/Alchemist-050.json</x:v>
      </x:c>
      <x:c r="J50" s="25" t="str">
        <x:v>https://raw.githubusercontent.com/Btd6ModHelper/btd6-game-data/main/textTable.json</x:v>
      </x:c>
      <x:c r="K50" s="25"/>
    </x:row>
    <x:row r="51" ht="95" customHeight="1">
      <x:c r="A51" s="25" t="str">
        <x:v>Druid</x:v>
      </x:c>
      <x:c r="B51" s="80" t="str">
        <x:v>040</x:v>
      </x:c>
      <x:c r="C51" s="25" t="str">
        <x:v>Vine Crush</x:v>
      </x:c>
      <x:c r="D51" s="25" t="str">
        <x:v>activated</x:v>
      </x:c>
      <x:c r="E51" s="36"/>
      <x:c r="F51" s="36"/>
      <x:c r="G51" s="25" t="str">
        <x:v>Targets multiple eligible enemies with crushing vines. This is the ability named in the retrieved export, not the older manual income ability.</x:v>
      </x:c>
      <x:c r="H51" s="25" t="str">
        <x:v>not_fully_normalized</x:v>
      </x:c>
      <x:c r="I51" s="25" t="str">
        <x:v>https://raw.githubusercontent.com/Btd6ModHelper/btd6-game-data/main/Towers/Druid/Druid-040.json</x:v>
      </x:c>
      <x:c r="J51" s="25" t="str">
        <x:v>https://raw.githubusercontent.com/Btd6ModHelper/btd6-game-data/main/textTable.json</x:v>
      </x:c>
      <x:c r="K51" s="25"/>
    </x:row>
    <x:row r="52" ht="95" customHeight="1">
      <x:c r="A52" s="25" t="str">
        <x:v>Druid</x:v>
      </x:c>
      <x:c r="B52" s="80" t="str">
        <x:v>050</x:v>
      </x:c>
      <x:c r="C52" s="25" t="str">
        <x:v>Spirit of the Forest Vine Crush</x:v>
      </x:c>
      <x:c r="D52" s="25" t="str">
        <x:v>activated</x:v>
      </x:c>
      <x:c r="E52" s="36"/>
      <x:c r="F52" s="36"/>
      <x:c r="G52" s="25" t="str">
        <x:v>Improves Vine Crush while permanent track vines continue attacking.</x:v>
      </x:c>
      <x:c r="H52" s="25" t="str">
        <x:v>not_fully_normalized</x:v>
      </x:c>
      <x:c r="I52" s="25" t="str">
        <x:v>https://raw.githubusercontent.com/Btd6ModHelper/btd6-game-data/main/Towers/Druid/Druid-050.json</x:v>
      </x:c>
      <x:c r="J52" s="25" t="str">
        <x:v>https://raw.githubusercontent.com/Btd6ModHelper/btd6-game-data/main/textTable.json</x:v>
      </x:c>
      <x:c r="K52" s="25"/>
    </x:row>
    <x:row r="53" ht="95" customHeight="1">
      <x:c r="A53" s="25" t="str">
        <x:v>Mermonkey</x:v>
      </x:c>
      <x:c r="B53" s="80" t="str">
        <x:v>040</x:v>
      </x:c>
      <x:c r="C53" s="25" t="str">
        <x:v>Ice Jet</x:v>
      </x:c>
      <x:c r="D53" s="25" t="str">
        <x:v>activated</x:v>
      </x:c>
      <x:c r="E53" s="36"/>
      <x:c r="F53" s="36"/>
      <x:c r="G53" s="25" t="str">
        <x:v>Releases bouncing ice projectiles.</x:v>
      </x:c>
      <x:c r="H53" s="25" t="str">
        <x:v>not_fully_normalized</x:v>
      </x:c>
      <x:c r="I53" s="25" t="str">
        <x:v>https://raw.githubusercontent.com/Btd6ModHelper/btd6-game-data/main/Towers/Mermonkey/Mermonkey-040.json</x:v>
      </x:c>
      <x:c r="J53" s="25" t="str">
        <x:v>https://raw.githubusercontent.com/Btd6ModHelper/btd6-game-data/main/textTable.json</x:v>
      </x:c>
      <x:c r="K53" s="25"/>
    </x:row>
    <x:row r="54" ht="95" customHeight="1">
      <x:c r="A54" s="25" t="str">
        <x:v>Mermonkey</x:v>
      </x:c>
      <x:c r="B54" s="80" t="str">
        <x:v>050</x:v>
      </x:c>
      <x:c r="C54" s="25" t="str">
        <x:v>Popseidon Ice Jet</x:v>
      </x:c>
      <x:c r="D54" s="25" t="str">
        <x:v>activated</x:v>
      </x:c>
      <x:c r="E54" s="36"/>
      <x:c r="F54" s="36"/>
      <x:c r="G54" s="25" t="str">
        <x:v>Upgrades the cold-projectile ability and its area effects.</x:v>
      </x:c>
      <x:c r="H54" s="25" t="str">
        <x:v>not_fully_normalized</x:v>
      </x:c>
      <x:c r="I54" s="25" t="str">
        <x:v>https://raw.githubusercontent.com/Btd6ModHelper/btd6-game-data/main/Towers/Mermonkey/Mermonkey-050.json</x:v>
      </x:c>
      <x:c r="J54" s="25" t="str">
        <x:v>https://raw.githubusercontent.com/Btd6ModHelper/btd6-game-data/main/textTable.json</x:v>
      </x:c>
      <x:c r="K54" s="25"/>
    </x:row>
    <x:row r="55" ht="95" customHeight="1">
      <x:c r="A55" s="25" t="str">
        <x:v>Mermonkey</x:v>
      </x:c>
      <x:c r="B55" s="80" t="str">
        <x:v>003</x:v>
      </x:c>
      <x:c r="C55" s="25" t="str">
        <x:v>Alluring Melody</x:v>
      </x:c>
      <x:c r="D55" s="25" t="str">
        <x:v>automatic_periodic</x:v>
      </x:c>
      <x:c r="E55" s="36"/>
      <x:c r="F55" s="36"/>
      <x:c r="G55" s="25" t="str">
        <x:v>Diverts eligible Bloons toward a song source and interacts with damage-over-time effects.</x:v>
      </x:c>
      <x:c r="H55" s="25" t="str">
        <x:v>not_fully_normalized</x:v>
      </x:c>
      <x:c r="I55" s="25" t="str">
        <x:v>https://raw.githubusercontent.com/Btd6ModHelper/btd6-game-data/main/Towers/Mermonkey/Mermonkey-003.json</x:v>
      </x:c>
      <x:c r="J55" s="25" t="str">
        <x:v>https://raw.githubusercontent.com/Btd6ModHelper/btd6-game-data/main/textTable.json</x:v>
      </x:c>
      <x:c r="K55" s="25"/>
    </x:row>
    <x:row r="56" ht="95" customHeight="1">
      <x:c r="A56" s="25" t="str">
        <x:v>Mermonkey</x:v>
      </x:c>
      <x:c r="B56" s="80" t="str">
        <x:v>004</x:v>
      </x:c>
      <x:c r="C56" s="25" t="str">
        <x:v>Song position</x:v>
      </x:c>
      <x:c r="D56" s="25" t="str">
        <x:v>targeting_control</x:v>
      </x:c>
      <x:c r="E56" s="36"/>
      <x:c r="F56" s="36"/>
      <x:c r="G56" s="25" t="str">
        <x:v>Sets the lure position within its permitted placement area.</x:v>
      </x:c>
      <x:c r="H56" s="25" t="str">
        <x:v>not_fully_normalized</x:v>
      </x:c>
      <x:c r="I56" s="25" t="str">
        <x:v>https://raw.githubusercontent.com/Btd6ModHelper/btd6-game-data/main/Towers/Mermonkey/Mermonkey-004.json</x:v>
      </x:c>
      <x:c r="J56" s="25" t="str">
        <x:v>https://raw.githubusercontent.com/Btd6ModHelper/btd6-game-data/main/textTable.json</x:v>
      </x:c>
      <x:c r="K56" s="25"/>
    </x:row>
    <x:row r="57" ht="95" customHeight="1">
      <x:c r="A57" s="25" t="str">
        <x:v>Mermonkey</x:v>
      </x:c>
      <x:c r="B57" s="80" t="str">
        <x:v>005</x:v>
      </x:c>
      <x:c r="C57" s="25" t="str">
        <x:v>Global song position</x:v>
      </x:c>
      <x:c r="D57" s="25" t="str">
        <x:v>targeting_control</x:v>
      </x:c>
      <x:c r="E57" s="36"/>
      <x:c r="F57" s="36"/>
      <x:c r="G57" s="25" t="str">
        <x:v>Extends the permitted lure position across the map.</x:v>
      </x:c>
      <x:c r="H57" s="25" t="str">
        <x:v>not_fully_normalized</x:v>
      </x:c>
      <x:c r="I57" s="25" t="str">
        <x:v>https://raw.githubusercontent.com/Btd6ModHelper/btd6-game-data/main/Towers/Mermonkey/Mermonkey-005.json</x:v>
      </x:c>
      <x:c r="J57" s="25" t="str">
        <x:v>https://raw.githubusercontent.com/Btd6ModHelper/btd6-game-data/main/textTable.json</x:v>
      </x:c>
      <x:c r="K57" s="25"/>
    </x:row>
    <x:row r="58" ht="95" customHeight="1">
      <x:c r="A58" s="25" t="str">
        <x:v>Skywarden</x:v>
      </x:c>
      <x:c r="B58" s="80" t="str">
        <x:v>200</x:v>
      </x:c>
      <x:c r="C58" s="25" t="str">
        <x:v>Long-range stance</x:v>
      </x:c>
      <x:c r="D58" s="25" t="str">
        <x:v>mode_switch</x:v>
      </x:c>
      <x:c r="E58" s="36"/>
      <x:c r="F58" s="36"/>
      <x:c r="G58" s="25" t="str">
        <x:v>Switches to slower, more accurate long-range firing.</x:v>
      </x:c>
      <x:c r="H58" s="25" t="str">
        <x:v>not_fully_normalized</x:v>
      </x:c>
      <x:c r="I58" s="25" t="str">
        <x:v>https://raw.githubusercontent.com/Btd6ModHelper/btd6-game-data/main/Towers/Skywarden/Skywarden-200.json</x:v>
      </x:c>
      <x:c r="J58" s="25" t="str">
        <x:v>https://raw.githubusercontent.com/Btd6ModHelper/btd6-game-data/main/textTable.json</x:v>
      </x:c>
      <x:c r="K58" s="25"/>
    </x:row>
    <x:row r="59" ht="95" customHeight="1">
      <x:c r="A59" s="25" t="str">
        <x:v>Skywarden</x:v>
      </x:c>
      <x:c r="B59" s="80" t="str">
        <x:v>040</x:v>
      </x:c>
      <x:c r="C59" s="25" t="str">
        <x:v>Thunder Charge</x:v>
      </x:c>
      <x:c r="D59" s="25" t="str">
        <x:v>activated_support</x:v>
      </x:c>
      <x:c r="E59" s="36" t="n">
        <x:v>45</x:v>
      </x:c>
      <x:c r="F59" s="36"/>
      <x:c r="G59" s="25" t="str">
        <x:v>Temporarily improves nearby towers' projectile behavior, with ricochet and Frozen-popping benefits.</x:v>
      </x:c>
      <x:c r="H59" s="25" t="str">
        <x:v>cooldown_verified</x:v>
      </x:c>
      <x:c r="I59" s="25" t="str">
        <x:v>https://raw.githubusercontent.com/Btd6ModHelper/btd6-game-data/main/Towers/Skywarden/Skywarden-040.json</x:v>
      </x:c>
      <x:c r="J59" s="25" t="str">
        <x:v>https://raw.githubusercontent.com/Btd6ModHelper/btd6-game-data/main/textTable.json</x:v>
      </x:c>
      <x:c r="K59" s="25" t="str">
        <x:v>https://raw.githubusercontent.com/Btd6ModHelper/btd6-game-data/main/Towers/Skywarden/Skywarden-040.json</x:v>
      </x:c>
    </x:row>
    <x:row r="60" ht="95" customHeight="1">
      <x:c r="A60" s="25" t="str">
        <x:v>Skywarden</x:v>
      </x:c>
      <x:c r="B60" s="80" t="str">
        <x:v>050</x:v>
      </x:c>
      <x:c r="C60" s="25" t="str">
        <x:v>Thunder Charge, conduit links</x:v>
      </x:c>
      <x:c r="D60" s="25" t="str">
        <x:v>activated_support</x:v>
      </x:c>
      <x:c r="E60" s="36"/>
      <x:c r="F60" s="36"/>
      <x:c r="G60" s="25" t="str">
        <x:v>Also links electrical conduits with lightning.</x:v>
      </x:c>
      <x:c r="H60" s="25" t="str">
        <x:v>not_fully_normalized</x:v>
      </x:c>
      <x:c r="I60" s="25" t="str">
        <x:v>https://raw.githubusercontent.com/Btd6ModHelper/btd6-game-data/main/Towers/Skywarden/Skywarden-050.json</x:v>
      </x:c>
      <x:c r="J60" s="25" t="str">
        <x:v>https://raw.githubusercontent.com/Btd6ModHelper/btd6-game-data/main/textTable.json</x:v>
      </x:c>
      <x:c r="K60" s="25"/>
    </x:row>
    <x:row r="61" ht="95" customHeight="1">
      <x:c r="A61" s="25" t="str">
        <x:v>Banana Farm</x:v>
      </x:c>
      <x:c r="B61" s="80" t="str">
        <x:v>030</x:v>
      </x:c>
      <x:c r="C61" s="25" t="str">
        <x:v>Bank collection</x:v>
      </x:c>
      <x:c r="D61" s="25" t="str">
        <x:v>manual_collection</x:v>
      </x:c>
      <x:c r="E61" s="36"/>
      <x:c r="F61" s="36"/>
      <x:c r="G61" s="25" t="str">
        <x:v>Withdraws stored bank cash. This is a collection control rather than a cooldown ability.</x:v>
      </x:c>
      <x:c r="H61" s="25" t="str">
        <x:v>not_fully_normalized</x:v>
      </x:c>
      <x:c r="I61" s="25" t="str">
        <x:v>https://raw.githubusercontent.com/Btd6ModHelper/btd6-game-data/main/Towers/BananaFarm/BananaFarm-030.json</x:v>
      </x:c>
      <x:c r="J61" s="25" t="str">
        <x:v>https://raw.githubusercontent.com/Btd6ModHelper/btd6-game-data/main/textTable.json</x:v>
      </x:c>
      <x:c r="K61" s="25"/>
    </x:row>
    <x:row r="62" ht="95" customHeight="1">
      <x:c r="A62" s="25" t="str">
        <x:v>Banana Farm</x:v>
      </x:c>
      <x:c r="B62" s="80" t="str">
        <x:v>040</x:v>
      </x:c>
      <x:c r="C62" s="25" t="str">
        <x:v>IMF Loan</x:v>
      </x:c>
      <x:c r="D62" s="25" t="str">
        <x:v>activated_economy</x:v>
      </x:c>
      <x:c r="E62" s="36"/>
      <x:c r="F62" s="36"/>
      <x:c r="G62" s="25" t="str">
        <x:v>Provides a cash loan that later income must repay.</x:v>
      </x:c>
      <x:c r="H62" s="25" t="str">
        <x:v>not_fully_normalized</x:v>
      </x:c>
      <x:c r="I62" s="25" t="str">
        <x:v>https://raw.githubusercontent.com/Btd6ModHelper/btd6-game-data/main/Towers/BananaFarm/BananaFarm-040.json</x:v>
      </x:c>
      <x:c r="J62" s="25" t="str">
        <x:v>https://raw.githubusercontent.com/Btd6ModHelper/btd6-game-data/main/textTable.json</x:v>
      </x:c>
      <x:c r="K62" s="25"/>
    </x:row>
    <x:row r="63" ht="95" customHeight="1">
      <x:c r="A63" s="25" t="str">
        <x:v>Banana Farm</x:v>
      </x:c>
      <x:c r="B63" s="80" t="str">
        <x:v>050</x:v>
      </x:c>
      <x:c r="C63" s="25" t="str">
        <x:v>Monkey-Nomics</x:v>
      </x:c>
      <x:c r="D63" s="25" t="str">
        <x:v>activated_economy</x:v>
      </x:c>
      <x:c r="E63" s="36"/>
      <x:c r="F63" s="36"/>
      <x:c r="G63" s="25" t="str">
        <x:v>Provides cash without loan debt.</x:v>
      </x:c>
      <x:c r="H63" s="25" t="str">
        <x:v>not_fully_normalized</x:v>
      </x:c>
      <x:c r="I63" s="25" t="str">
        <x:v>https://raw.githubusercontent.com/Btd6ModHelper/btd6-game-data/main/Towers/BananaFarm/BananaFarm-050.json</x:v>
      </x:c>
      <x:c r="J63" s="25" t="str">
        <x:v>https://raw.githubusercontent.com/Btd6ModHelper/btd6-game-data/main/textTable.json</x:v>
      </x:c>
      <x:c r="K63" s="25"/>
    </x:row>
    <x:row r="64" ht="95" customHeight="1">
      <x:c r="A64" s="25" t="str">
        <x:v>Spike Factory</x:v>
      </x:c>
      <x:c r="B64" s="80" t="str">
        <x:v>040</x:v>
      </x:c>
      <x:c r="C64" s="25" t="str">
        <x:v>Spike Storm</x:v>
      </x:c>
      <x:c r="D64" s="25" t="str">
        <x:v>activated</x:v>
      </x:c>
      <x:c r="E64" s="36"/>
      <x:c r="F64" s="36"/>
      <x:c r="G64" s="25" t="str">
        <x:v>Spreads spike piles across the track.</x:v>
      </x:c>
      <x:c r="H64" s="25" t="str">
        <x:v>not_fully_normalized</x:v>
      </x:c>
      <x:c r="I64" s="25" t="str">
        <x:v>https://raw.githubusercontent.com/Btd6ModHelper/btd6-game-data/main/Towers/SpikeFactory/SpikeFactory-040.json</x:v>
      </x:c>
      <x:c r="J64" s="25" t="str">
        <x:v>https://raw.githubusercontent.com/Btd6ModHelper/btd6-game-data/main/textTable.json</x:v>
      </x:c>
      <x:c r="K64" s="25"/>
    </x:row>
    <x:row r="65" ht="95" customHeight="1">
      <x:c r="A65" s="25" t="str">
        <x:v>Spike Factory</x:v>
      </x:c>
      <x:c r="B65" s="80" t="str">
        <x:v>050</x:v>
      </x:c>
      <x:c r="C65" s="25" t="str">
        <x:v>Carpet of Spikes</x:v>
      </x:c>
      <x:c r="D65" s="25" t="str">
        <x:v>automatic_periodic</x:v>
      </x:c>
      <x:c r="E65" s="36"/>
      <x:c r="F65" s="36"/>
      <x:c r="G65" s="25" t="str">
        <x:v>Periodically spreads spikes across the track; an activated spike spread remains available.</x:v>
      </x:c>
      <x:c r="H65" s="25" t="str">
        <x:v>not_fully_normalized</x:v>
      </x:c>
      <x:c r="I65" s="25" t="str">
        <x:v>https://raw.githubusercontent.com/Btd6ModHelper/btd6-game-data/main/Towers/SpikeFactory/SpikeFactory-050.json</x:v>
      </x:c>
      <x:c r="J65" s="25" t="str">
        <x:v>https://raw.githubusercontent.com/Btd6ModHelper/btd6-game-data/main/textTable.json</x:v>
      </x:c>
      <x:c r="K65" s="25"/>
    </x:row>
    <x:row r="66" ht="95" customHeight="1">
      <x:c r="A66" s="25" t="str">
        <x:v>Monkey Village</x:v>
      </x:c>
      <x:c r="B66" s="80" t="str">
        <x:v>040</x:v>
      </x:c>
      <x:c r="C66" s="25" t="str">
        <x:v>Call to Arms</x:v>
      </x:c>
      <x:c r="D66" s="25" t="str">
        <x:v>activated_support</x:v>
      </x:c>
      <x:c r="E66" s="36"/>
      <x:c r="F66" s="36"/>
      <x:c r="G66" s="25" t="str">
        <x:v>Temporarily increases affected towers' attack speed and pierce.</x:v>
      </x:c>
      <x:c r="H66" s="25" t="str">
        <x:v>not_fully_normalized</x:v>
      </x:c>
      <x:c r="I66" s="25" t="str">
        <x:v>https://raw.githubusercontent.com/Btd6ModHelper/btd6-game-data/main/Towers/MonkeyVillage/MonkeyVillage-040.json</x:v>
      </x:c>
      <x:c r="J66" s="25" t="str">
        <x:v>https://raw.githubusercontent.com/Btd6ModHelper/btd6-game-data/main/textTable.json</x:v>
      </x:c>
      <x:c r="K66" s="25"/>
    </x:row>
    <x:row r="67" ht="95" customHeight="1">
      <x:c r="A67" s="25" t="str">
        <x:v>Monkey Village</x:v>
      </x:c>
      <x:c r="B67" s="80" t="str">
        <x:v>050</x:v>
      </x:c>
      <x:c r="C67" s="25" t="str">
        <x:v>Homeland Defense</x:v>
      </x:c>
      <x:c r="D67" s="25" t="str">
        <x:v>activated_support</x:v>
      </x:c>
      <x:c r="E67" s="36"/>
      <x:c r="F67" s="36"/>
      <x:c r="G67" s="25" t="str">
        <x:v>Applies the stronger attack-speed and pierce buff across the map.</x:v>
      </x:c>
      <x:c r="H67" s="25" t="str">
        <x:v>not_fully_normalized</x:v>
      </x:c>
      <x:c r="I67" s="25" t="str">
        <x:v>https://raw.githubusercontent.com/Btd6ModHelper/btd6-game-data/main/Towers/MonkeyVillage/MonkeyVillage-050.json</x:v>
      </x:c>
      <x:c r="J67" s="25" t="str">
        <x:v>https://raw.githubusercontent.com/Btd6ModHelper/btd6-game-data/main/textTable.json</x:v>
      </x:c>
      <x:c r="K67" s="25"/>
    </x:row>
    <x:row r="68" ht="95" customHeight="1">
      <x:c r="A68" s="25" t="str">
        <x:v>Engineer Monkey</x:v>
      </x:c>
      <x:c r="B68" s="80" t="str">
        <x:v>040</x:v>
      </x:c>
      <x:c r="C68" s="25" t="str">
        <x:v>Overclock</x:v>
      </x:c>
      <x:c r="D68" s="25" t="str">
        <x:v>activated_targeted_support</x:v>
      </x:c>
      <x:c r="E68" s="36"/>
      <x:c r="F68" s="36"/>
      <x:c r="G68" s="25" t="str">
        <x:v>Temporarily boosts a selected eligible tower's attack speed or compatible production behavior.</x:v>
      </x:c>
      <x:c r="H68" s="25" t="str">
        <x:v>not_fully_normalized</x:v>
      </x:c>
      <x:c r="I68" s="25" t="str">
        <x:v>https://raw.githubusercontent.com/Btd6ModHelper/btd6-game-data/main/Towers/EngineerMonkey/EngineerMonkey-040.json</x:v>
      </x:c>
      <x:c r="J68" s="25" t="str">
        <x:v>https://raw.githubusercontent.com/Btd6ModHelper/btd6-game-data/main/textTable.json</x:v>
      </x:c>
      <x:c r="K68" s="25"/>
    </x:row>
    <x:row r="69" ht="95" customHeight="1">
      <x:c r="A69" s="25" t="str">
        <x:v>Engineer Monkey</x:v>
      </x:c>
      <x:c r="B69" s="80" t="str">
        <x:v>050</x:v>
      </x:c>
      <x:c r="C69" s="25" t="str">
        <x:v>Ultraboost</x:v>
      </x:c>
      <x:c r="D69" s="25" t="str">
        <x:v>activated_targeted_support</x:v>
      </x:c>
      <x:c r="E69" s="36"/>
      <x:c r="F69" s="36"/>
      <x:c r="G69" s="25" t="str">
        <x:v>Adds a permanent stacking improvement as well as the temporary boost.</x:v>
      </x:c>
      <x:c r="H69" s="25" t="str">
        <x:v>not_fully_normalized</x:v>
      </x:c>
      <x:c r="I69" s="25" t="str">
        <x:v>https://raw.githubusercontent.com/Btd6ModHelper/btd6-game-data/main/Towers/EngineerMonkey/EngineerMonkey-050.json</x:v>
      </x:c>
      <x:c r="J69" s="25" t="str">
        <x:v>https://raw.githubusercontent.com/Btd6ModHelper/btd6-game-data/main/textTable.json</x:v>
      </x:c>
      <x:c r="K69" s="25"/>
    </x:row>
    <x:row r="70" ht="95" customHeight="1">
      <x:c r="A70" s="25" t="str">
        <x:v>Engineer Monkey</x:v>
      </x:c>
      <x:c r="B70" s="80" t="str">
        <x:v>004</x:v>
      </x:c>
      <x:c r="C70" s="25" t="str">
        <x:v>Collect Bloon Trap</x:v>
      </x:c>
      <x:c r="D70" s="25" t="str">
        <x:v>manual_collection</x:v>
      </x:c>
      <x:c r="E70" s="36"/>
      <x:c r="F70" s="36"/>
      <x:c r="G70" s="25" t="str">
        <x:v>Collects cash from a full trap so that another can be placed.</x:v>
      </x:c>
      <x:c r="H70" s="25" t="str">
        <x:v>not_fully_normalized</x:v>
      </x:c>
      <x:c r="I70" s="25" t="str">
        <x:v>https://raw.githubusercontent.com/Btd6ModHelper/btd6-game-data/main/Towers/EngineerMonkey/EngineerMonkey-004.json</x:v>
      </x:c>
      <x:c r="J70" s="25" t="str">
        <x:v>https://raw.githubusercontent.com/Btd6ModHelper/btd6-game-data/main/textTable.json</x:v>
      </x:c>
      <x:c r="K70" s="25"/>
    </x:row>
    <x:row r="71" ht="95" customHeight="1">
      <x:c r="A71" s="25" t="str">
        <x:v>Engineer Monkey</x:v>
      </x:c>
      <x:c r="B71" s="80" t="str">
        <x:v>005</x:v>
      </x:c>
      <x:c r="C71" s="25" t="str">
        <x:v>Collect XXXL Trap</x:v>
      </x:c>
      <x:c r="D71" s="25" t="str">
        <x:v>manual_collection</x:v>
      </x:c>
      <x:c r="E71" s="36"/>
      <x:c r="F71" s="36"/>
      <x:c r="G71" s="25" t="str">
        <x:v>Collects a full large trap that can capture eligible MOAB-class targets.</x:v>
      </x:c>
      <x:c r="H71" s="25" t="str">
        <x:v>not_fully_normalized</x:v>
      </x:c>
      <x:c r="I71" s="25" t="str">
        <x:v>https://raw.githubusercontent.com/Btd6ModHelper/btd6-game-data/main/Towers/EngineerMonkey/EngineerMonkey-005.json</x:v>
      </x:c>
      <x:c r="J71" s="25" t="str">
        <x:v>https://raw.githubusercontent.com/Btd6ModHelper/btd6-game-data/main/textTable.json</x:v>
      </x:c>
      <x:c r="K71" s="25"/>
    </x:row>
    <x:row r="72" ht="95" customHeight="1">
      <x:c r="A72" s="25" t="str">
        <x:v>Beast Handler</x:v>
      </x:c>
      <x:c r="B72" s="80" t="str">
        <x:v>040</x:v>
      </x:c>
      <x:c r="C72" s="25" t="str">
        <x:v>T-Rex Stomp</x:v>
      </x:c>
      <x:c r="D72" s="25" t="str">
        <x:v>activated</x:v>
      </x:c>
      <x:c r="E72" s="36"/>
      <x:c r="F72" s="36"/>
      <x:c r="G72" s="25" t="str">
        <x:v>The dinosaur produces a damaging stun stomp.</x:v>
      </x:c>
      <x:c r="H72" s="25" t="str">
        <x:v>not_fully_normalized</x:v>
      </x:c>
      <x:c r="I72" s="25" t="str">
        <x:v>https://raw.githubusercontent.com/Btd6ModHelper/btd6-game-data/main/Towers/BeastHandler/BeastHandler-040.json</x:v>
      </x:c>
      <x:c r="J72" s="25" t="str">
        <x:v>https://raw.githubusercontent.com/Btd6ModHelper/btd6-game-data/main/textTable.json</x:v>
      </x:c>
      <x:c r="K72" s="25"/>
    </x:row>
    <x:row r="73" ht="95" customHeight="1">
      <x:c r="A73" s="25" t="str">
        <x:v>Beast Handler</x:v>
      </x:c>
      <x:c r="B73" s="80" t="str">
        <x:v>050</x:v>
      </x:c>
      <x:c r="C73" s="25" t="str">
        <x:v>Giganotosaurus Stomp</x:v>
      </x:c>
      <x:c r="D73" s="25" t="str">
        <x:v>activated</x:v>
      </x:c>
      <x:c r="E73" s="36"/>
      <x:c r="F73" s="36"/>
      <x:c r="G73" s="25" t="str">
        <x:v>Upgrades the stomp to stronger, wider control.</x:v>
      </x:c>
      <x:c r="H73" s="25" t="str">
        <x:v>not_fully_normalized</x:v>
      </x:c>
      <x:c r="I73" s="25" t="str">
        <x:v>https://raw.githubusercontent.com/Btd6ModHelper/btd6-game-data/main/Towers/BeastHandler/BeastHandler-050.json</x:v>
      </x:c>
      <x:c r="J73" s="25" t="str">
        <x:v>https://raw.githubusercontent.com/Btd6ModHelper/btd6-game-data/main/textTable.json</x:v>
      </x:c>
      <x:c r="K73" s="25"/>
    </x:row>
    <x:row r="74" ht="95" customHeight="1">
      <x:c r="A74" s="25" t="str">
        <x:v>Beast Handler</x:v>
      </x:c>
      <x:c r="B74" s="80" t="str">
        <x:v>100</x:v>
      </x:c>
      <x:c r="C74" s="25" t="str">
        <x:v>Beast merge</x:v>
      </x:c>
      <x:c r="D74" s="25" t="str">
        <x:v>management_control</x:v>
      </x:c>
      <x:c r="E74" s="36"/>
      <x:c r="F74" s="36"/>
      <x:c r="G74" s="25" t="str">
        <x:v>Assigns compatible handlers to support one beast and increase its Beast Power; available for all three beast paths.</x:v>
      </x:c>
      <x:c r="H74" s="25" t="str">
        <x:v>not_fully_normalized</x:v>
      </x:c>
      <x:c r="I74" s="25" t="str">
        <x:v>https://raw.githubusercontent.com/Btd6ModHelper/btd6-game-data/main/Towers/BeastHandler/BeastHandler-100.json</x:v>
      </x:c>
      <x:c r="J74" s="25" t="str">
        <x:v>https://raw.githubusercontent.com/Btd6ModHelper/btd6-game-data/main/textTable.json</x:v>
      </x:c>
      <x:c r="K74" s="25"/>
    </x:row>
    <x:row r="75" ht="95" customHeight="1">
      <x:c r="A75" s="25" t="str">
        <x:v>Beast Handler</x:v>
      </x:c>
      <x:c r="B75" s="80" t="str">
        <x:v>001</x:v>
      </x:c>
      <x:c r="C75" s="25" t="str">
        <x:v>Beast position</x:v>
      </x:c>
      <x:c r="D75" s="25" t="str">
        <x:v>targeting_control</x:v>
      </x:c>
      <x:c r="E75" s="36"/>
      <x:c r="F75" s="36"/>
      <x:c r="G75" s="25" t="str">
        <x:v>Sets a permitted beast position; the valid region depends on the beast type.</x:v>
      </x:c>
      <x:c r="H75" s="25" t="str">
        <x:v>not_fully_normalized</x:v>
      </x:c>
      <x:c r="I75" s="25" t="str">
        <x:v>https://raw.githubusercontent.com/Btd6ModHelper/btd6-game-data/main/Towers/BeastHandler/BeastHandler-001.json</x:v>
      </x:c>
      <x:c r="J75" s="25" t="str">
        <x:v>https://raw.githubusercontent.com/Btd6ModHelper/btd6-game-data/main/textTable.json</x:v>
      </x:c>
      <x:c r="K75" s="25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42165e9a926a487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8" hidden="0" customWidth="1"/>
    <x:col min="3" max="3" width="18" hidden="0" customWidth="1"/>
    <x:col min="4" max="4" width="15" hidden="0" customWidth="1"/>
    <x:col min="5" max="5" width="15" hidden="0" customWidth="1"/>
    <x:col min="6" max="6" width="18" hidden="0" customWidth="1"/>
    <x:col min="7" max="7" width="18" hidden="0" customWidth="1"/>
    <x:col min="8" max="8" width="18" hidden="0" customWidth="1"/>
    <x:col min="9" max="9" width="40" hidden="0" customWidth="1"/>
    <x:col min="10" max="10" width="40" hidden="0" customWidth="1"/>
    <x:col min="11" max="11" width="40" hidden="0" customWidth="1"/>
    <x:col min="12" max="12" width="40" hidden="0" customWidth="1"/>
  </x:cols>
  <x:sheetData>
    <x:row r="1" ht="38" customHeight="1">
      <x:c r="A1" s="8" t="str">
        <x:v>Paragon records in the export</x:v>
      </x:c>
      <x:c r="B1" s="8"/>
      <x:c r="C1" s="8"/>
      <x:c r="D1" s="8"/>
      <x:c r="E1" s="8"/>
      <x:c r="F1" s="8"/>
      <x:c r="G1" s="8"/>
      <x:c r="H1" s="8"/>
      <x:c r="I1" s="8"/>
      <x:c r="J1" s="8"/>
      <x:c r="K1" s="4"/>
      <x:c r="L1" s="4"/>
    </x:row>
    <x:row r="2" ht="34" customHeight="1">
      <x:c r="A2" s="13" t="str">
        <x:v>13 exported records. This does not establish that every entry is currently released. Prices exclude prerequisite towers, sacrifices and optional degree investment.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4"/>
      <x:c r="L2" s="4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34" customHeight="1">
      <x:c r="A4" s="19" t="str">
        <x:v>Tower</x:v>
      </x:c>
      <x:c r="B4" s="19" t="str">
        <x:v>Paragon name</x:v>
      </x:c>
      <x:c r="C4" s="19" t="str">
        <x:v>Medium upgrade</x:v>
      </x:c>
      <x:c r="D4" s="19" t="str">
        <x:v>Easy calc.</x:v>
      </x:c>
      <x:c r="E4" s="19" t="str">
        <x:v>Hard calc.</x:v>
      </x:c>
      <x:c r="F4" s="19" t="str">
        <x:v>Impoppable calc.</x:v>
      </x:c>
      <x:c r="G4" s="19" t="str">
        <x:v>Unlock XP</x:v>
      </x:c>
      <x:c r="H4" s="19" t="str">
        <x:v>Editorial role</x:v>
      </x:c>
      <x:c r="I4" s="19" t="str">
        <x:v>Summary</x:v>
      </x:c>
      <x:c r="J4" s="19" t="str">
        <x:v>Availability status</x:v>
      </x:c>
      <x:c r="K4" s="19" t="str">
        <x:v>Coverage limit</x:v>
      </x:c>
      <x:c r="L4" s="19" t="str">
        <x:v>Source URL</x:v>
      </x:c>
    </x:row>
    <x:row r="5" ht="106" customHeight="1">
      <x:c r="A5" s="25" t="str">
        <x:v>Dart Monkey</x:v>
      </x:c>
      <x:c r="B5" s="25" t="str">
        <x:v>Apex Plasma Master</x:v>
      </x:c>
      <x:c r="C5" s="30" t="n">
        <x:v>150000</x:v>
      </x:c>
      <x:c r="D5" s="30" t="n">
        <x:f>IF(C5="","",FLOOR(INT(C5*'Price rules'!$B$5),'Price rules'!$B$9)+IF(MOD(INT(C5*'Price rules'!$B$5),'Price rules'!$B$9)&lt;'Price rules'!$B$10,0,'Price rules'!$B$9))</x:f>
        <x:v>127500</x:v>
      </x:c>
      <x:c r="E5" s="30" t="n">
        <x:f>IF(C5="","",FLOOR(INT(C5*'Price rules'!$B$7),'Price rules'!$B$9)+IF(MOD(INT(C5*'Price rules'!$B$7),'Price rules'!$B$9)&lt;'Price rules'!$B$10,0,'Price rules'!$B$9))</x:f>
        <x:v>162000</x:v>
      </x:c>
      <x:c r="F5" s="30" t="n">
        <x:f>IF(C5="","",FLOOR(INT(C5*'Price rules'!$B$8),'Price rules'!$B$9)+IF(MOD(INT(C5*'Price rules'!$B$8),'Price rules'!$B$9)&lt;'Price rules'!$B$10,0,'Price rules'!$B$9))</x:f>
        <x:v>180000</x:v>
      </x:c>
      <x:c r="G5" s="30" t="n">
        <x:v>500000</x:v>
      </x:c>
      <x:c r="H5" s="25" t="str">
        <x:v>splash</x:v>
      </x:c>
      <x:c r="I5" s="25" t="str">
        <x:v>Uses powerful splitting, bouncing plasma projectiles.</x:v>
      </x:c>
      <x:c r="J5" s="25" t="str">
        <x:v>present_in_retrieved_export_release_status_not_independently_verified</x:v>
      </x:c>
      <x:c r="K5" s="25" t="str">
        <x:v>Name, purchase price and XP were read from exported records. Full degree scaling and every ability were not extracted. Some records may precede release.</x:v>
      </x:c>
      <x:c r="L5" s="25" t="str">
        <x:v>https://raw.githubusercontent.com/Btd6ModHelper/btd6-game-data/main/Upgrades/DartMonkey%20Paragon.json</x:v>
      </x:c>
    </x:row>
    <x:row r="6" ht="106" customHeight="1">
      <x:c r="A6" s="25" t="str">
        <x:v>Boomerang Monkey</x:v>
      </x:c>
      <x:c r="B6" s="25" t="str">
        <x:v>Glaive Dominus</x:v>
      </x:c>
      <x:c r="C6" s="30" t="n">
        <x:v>375000</x:v>
      </x:c>
      <x:c r="D6" s="30" t="n">
        <x:f>IF(C6="","",FLOOR(INT(C6*'Price rules'!$B$5),'Price rules'!$B$9)+IF(MOD(INT(C6*'Price rules'!$B$5),'Price rules'!$B$9)&lt;'Price rules'!$B$10,0,'Price rules'!$B$9))</x:f>
        <x:v>318750</x:v>
      </x:c>
      <x:c r="E6" s="30" t="n">
        <x:f>IF(C6="","",FLOOR(INT(C6*'Price rules'!$B$7),'Price rules'!$B$9)+IF(MOD(INT(C6*'Price rules'!$B$7),'Price rules'!$B$9)&lt;'Price rules'!$B$10,0,'Price rules'!$B$9))</x:f>
        <x:v>405000</x:v>
      </x:c>
      <x:c r="F6" s="30" t="n">
        <x:f>IF(C6="","",FLOOR(INT(C6*'Price rules'!$B$8),'Price rules'!$B$9)+IF(MOD(INT(C6*'Price rules'!$B$8),'Price rules'!$B$9)&lt;'Price rules'!$B$10,0,'Price rules'!$B$9))</x:f>
        <x:v>450000</x:v>
      </x:c>
      <x:c r="G6" s="30" t="n">
        <x:v>500000</x:v>
      </x:c>
      <x:c r="H6" s="25" t="str">
        <x:v>splash</x:v>
      </x:c>
      <x:c r="I6" s="25" t="str">
        <x:v>Combines ricocheting, orbiting, and anti-MOAB glaive attacks.</x:v>
      </x:c>
      <x:c r="J6" s="25" t="str">
        <x:v>present_in_retrieved_export_release_status_not_independently_verified</x:v>
      </x:c>
      <x:c r="K6" s="25" t="str">
        <x:v>Name, purchase price and XP were read from exported records. Full degree scaling and every ability were not extracted. Some records may precede release.</x:v>
      </x:c>
      <x:c r="L6" s="25" t="str">
        <x:v>https://raw.githubusercontent.com/Btd6ModHelper/btd6-game-data/main/Upgrades/BoomerangMonkey%20Paragon.json</x:v>
      </x:c>
    </x:row>
    <x:row r="7" ht="106" customHeight="1">
      <x:c r="A7" s="25" t="str">
        <x:v>Bomb Shooter</x:v>
      </x:c>
      <x:c r="B7" s="25" t="str">
        <x:v>Ballistic Obliteration Missile Bunker</x:v>
      </x:c>
      <x:c r="C7" s="30" t="n">
        <x:v>650000</x:v>
      </x:c>
      <x:c r="D7" s="30" t="n">
        <x:f>IF(C7="","",FLOOR(INT(C7*'Price rules'!$B$5),'Price rules'!$B$9)+IF(MOD(INT(C7*'Price rules'!$B$5),'Price rules'!$B$9)&lt;'Price rules'!$B$10,0,'Price rules'!$B$9))</x:f>
        <x:v>552500</x:v>
      </x:c>
      <x:c r="E7" s="30" t="n">
        <x:f>IF(C7="","",FLOOR(INT(C7*'Price rules'!$B$7),'Price rules'!$B$9)+IF(MOD(INT(C7*'Price rules'!$B$7),'Price rules'!$B$9)&lt;'Price rules'!$B$10,0,'Price rules'!$B$9))</x:f>
        <x:v>702000</x:v>
      </x:c>
      <x:c r="F7" s="30" t="n">
        <x:f>IF(C7="","",FLOOR(INT(C7*'Price rules'!$B$8),'Price rules'!$B$9)+IF(MOD(INT(C7*'Price rules'!$B$8),'Price rules'!$B$9)&lt;'Price rules'!$B$10,0,'Price rules'!$B$9))</x:f>
        <x:v>780000</x:v>
      </x:c>
      <x:c r="G7" s="30" t="n">
        <x:v>750000</x:v>
      </x:c>
      <x:c r="H7" s="25" t="str">
        <x:v>tank_killer</x:v>
      </x:c>
      <x:c r="I7" s="25" t="str">
        <x:v>Paragon record found in the exported data; full attack and ability mechanics are not normalized.</x:v>
      </x:c>
      <x:c r="J7" s="25" t="str">
        <x:v>present_in_retrieved_export_release_status_not_independently_verified</x:v>
      </x:c>
      <x:c r="K7" s="25" t="str">
        <x:v>Name, purchase price and XP were read from exported records. Full degree scaling and every ability were not extracted. Some records may precede release.</x:v>
      </x:c>
      <x:c r="L7" s="25" t="str">
        <x:v>https://raw.githubusercontent.com/Btd6ModHelper/btd6-game-data/main/Upgrades/BombShooter%20Paragon.json</x:v>
      </x:c>
    </x:row>
    <x:row r="8" ht="106" customHeight="1">
      <x:c r="A8" s="25" t="str">
        <x:v>Tack Shooter</x:v>
      </x:c>
      <x:c r="B8" s="25" t="str">
        <x:v>Crucible of Steel and Flame</x:v>
      </x:c>
      <x:c r="C8" s="30" t="n">
        <x:v>200000</x:v>
      </x:c>
      <x:c r="D8" s="30" t="n">
        <x:f>IF(C8="","",FLOOR(INT(C8*'Price rules'!$B$5),'Price rules'!$B$9)+IF(MOD(INT(C8*'Price rules'!$B$5),'Price rules'!$B$9)&lt;'Price rules'!$B$10,0,'Price rules'!$B$9))</x:f>
        <x:v>170000</x:v>
      </x:c>
      <x:c r="E8" s="30" t="n">
        <x:f>IF(C8="","",FLOOR(INT(C8*'Price rules'!$B$7),'Price rules'!$B$9)+IF(MOD(INT(C8*'Price rules'!$B$7),'Price rules'!$B$9)&lt;'Price rules'!$B$10,0,'Price rules'!$B$9))</x:f>
        <x:v>216000</x:v>
      </x:c>
      <x:c r="F8" s="30" t="n">
        <x:f>IF(C8="","",FLOOR(INT(C8*'Price rules'!$B$8),'Price rules'!$B$9)+IF(MOD(INT(C8*'Price rules'!$B$8),'Price rules'!$B$9)&lt;'Price rules'!$B$10,0,'Price rules'!$B$9))</x:f>
        <x:v>240000</x:v>
      </x:c>
      <x:c r="G8" s="30" t="n">
        <x:v>500000</x:v>
      </x:c>
      <x:c r="H8" s="25" t="str">
        <x:v>rapid_fire</x:v>
      </x:c>
      <x:c r="I8" s="25" t="str">
        <x:v>Combines high-volume radial attacks with fire-based damage.</x:v>
      </x:c>
      <x:c r="J8" s="25" t="str">
        <x:v>present_in_retrieved_export_release_status_not_independently_verified</x:v>
      </x:c>
      <x:c r="K8" s="25" t="str">
        <x:v>Name, purchase price and XP were read from exported records. Full degree scaling and every ability were not extracted. Some records may precede release.</x:v>
      </x:c>
      <x:c r="L8" s="25" t="str">
        <x:v>https://raw.githubusercontent.com/Btd6ModHelper/btd6-game-data/main/Upgrades/TackShooter%20Paragon.json</x:v>
      </x:c>
    </x:row>
    <x:row r="9" ht="106" customHeight="1">
      <x:c r="A9" s="25" t="str">
        <x:v>Ice Monkey</x:v>
      </x:c>
      <x:c r="B9" s="25" t="str">
        <x:v>Herald of Everfrost</x:v>
      </x:c>
      <x:c r="C9" s="30" t="n">
        <x:v>300000</x:v>
      </x:c>
      <x:c r="D9" s="30" t="n">
        <x:f>IF(C9="","",FLOOR(INT(C9*'Price rules'!$B$5),'Price rules'!$B$9)+IF(MOD(INT(C9*'Price rules'!$B$5),'Price rules'!$B$9)&lt;'Price rules'!$B$10,0,'Price rules'!$B$9))</x:f>
        <x:v>255000</x:v>
      </x:c>
      <x:c r="E9" s="30" t="n">
        <x:f>IF(C9="","",FLOOR(INT(C9*'Price rules'!$B$7),'Price rules'!$B$9)+IF(MOD(INT(C9*'Price rules'!$B$7),'Price rules'!$B$9)&lt;'Price rules'!$B$10,0,'Price rules'!$B$9))</x:f>
        <x:v>324000</x:v>
      </x:c>
      <x:c r="F9" s="30" t="n">
        <x:f>IF(C9="","",FLOOR(INT(C9*'Price rules'!$B$8),'Price rules'!$B$9)+IF(MOD(INT(C9*'Price rules'!$B$8),'Price rules'!$B$9)&lt;'Price rules'!$B$10,0,'Price rules'!$B$9))</x:f>
        <x:v>360000</x:v>
      </x:c>
      <x:c r="G9" s="30" t="n">
        <x:v>750000</x:v>
      </x:c>
      <x:c r="H9" s="25" t="str">
        <x:v>status</x:v>
      </x:c>
      <x:c r="I9" s="25" t="str">
        <x:v>Paragon record found in the exported data; full freeze and damage mechanics are not normalized.</x:v>
      </x:c>
      <x:c r="J9" s="25" t="str">
        <x:v>present_in_retrieved_export_release_status_not_independently_verified</x:v>
      </x:c>
      <x:c r="K9" s="25" t="str">
        <x:v>Name, purchase price and XP were read from exported records. Full degree scaling and every ability were not extracted. Some records may precede release.</x:v>
      </x:c>
      <x:c r="L9" s="25" t="str">
        <x:v>https://raw.githubusercontent.com/Btd6ModHelper/btd6-game-data/main/Upgrades/IceMonkey%20Paragon.json</x:v>
      </x:c>
    </x:row>
    <x:row r="10" ht="106" customHeight="1">
      <x:c r="A10" s="25" t="str">
        <x:v>Monkey Sub</x:v>
      </x:c>
      <x:c r="B10" s="25" t="str">
        <x:v>Nautic Siege Core</x:v>
      </x:c>
      <x:c r="C10" s="30" t="n">
        <x:v>400000</x:v>
      </x:c>
      <x:c r="D10" s="30" t="n">
        <x:f>IF(C10="","",FLOOR(INT(C10*'Price rules'!$B$5),'Price rules'!$B$9)+IF(MOD(INT(C10*'Price rules'!$B$5),'Price rules'!$B$9)&lt;'Price rules'!$B$10,0,'Price rules'!$B$9))</x:f>
        <x:v>340000</x:v>
      </x:c>
      <x:c r="E10" s="30" t="n">
        <x:f>IF(C10="","",FLOOR(INT(C10*'Price rules'!$B$7),'Price rules'!$B$9)+IF(MOD(INT(C10*'Price rules'!$B$7),'Price rules'!$B$9)&lt;'Price rules'!$B$10,0,'Price rules'!$B$9))</x:f>
        <x:v>432000</x:v>
      </x:c>
      <x:c r="F10" s="30" t="n">
        <x:f>IF(C10="","",FLOOR(INT(C10*'Price rules'!$B$8),'Price rules'!$B$9)+IF(MOD(INT(C10*'Price rules'!$B$8),'Price rules'!$B$9)&lt;'Price rules'!$B$10,0,'Price rules'!$B$9))</x:f>
        <x:v>480000</x:v>
      </x:c>
      <x:c r="G10" s="30" t="n">
        <x:v>1000000</x:v>
      </x:c>
      <x:c r="H10" s="25" t="str">
        <x:v>tank_killer</x:v>
      </x:c>
      <x:c r="I10" s="25" t="str">
        <x:v>Combines missile attacks with a submerged support mode.</x:v>
      </x:c>
      <x:c r="J10" s="25" t="str">
        <x:v>present_in_retrieved_export_release_status_not_independently_verified</x:v>
      </x:c>
      <x:c r="K10" s="25" t="str">
        <x:v>Name, purchase price and XP were read from exported records. Full degree scaling and every ability were not extracted. Some records may precede release.</x:v>
      </x:c>
      <x:c r="L10" s="25" t="str">
        <x:v>https://raw.githubusercontent.com/Btd6ModHelper/btd6-game-data/main/Upgrades/MonkeySub%20Paragon.json</x:v>
      </x:c>
    </x:row>
    <x:row r="11" ht="106" customHeight="1">
      <x:c r="A11" s="25" t="str">
        <x:v>Monkey Buccaneer</x:v>
      </x:c>
      <x:c r="B11" s="25" t="str">
        <x:v>Navarch of the Seas</x:v>
      </x:c>
      <x:c r="C11" s="30" t="n">
        <x:v>550000</x:v>
      </x:c>
      <x:c r="D11" s="30" t="n">
        <x:f>IF(C11="","",FLOOR(INT(C11*'Price rules'!$B$5),'Price rules'!$B$9)+IF(MOD(INT(C11*'Price rules'!$B$5),'Price rules'!$B$9)&lt;'Price rules'!$B$10,0,'Price rules'!$B$9))</x:f>
        <x:v>467500</x:v>
      </x:c>
      <x:c r="E11" s="30" t="n">
        <x:f>IF(C11="","",FLOOR(INT(C11*'Price rules'!$B$7),'Price rules'!$B$9)+IF(MOD(INT(C11*'Price rules'!$B$7),'Price rules'!$B$9)&lt;'Price rules'!$B$10,0,'Price rules'!$B$9))</x:f>
        <x:v>594000</x:v>
      </x:c>
      <x:c r="F11" s="30" t="n">
        <x:f>IF(C11="","",FLOOR(INT(C11*'Price rules'!$B$8),'Price rules'!$B$9)+IF(MOD(INT(C11*'Price rules'!$B$8),'Price rules'!$B$9)&lt;'Price rules'!$B$10,0,'Price rules'!$B$9))</x:f>
        <x:v>660000</x:v>
      </x:c>
      <x:c r="G11" s="30" t="n">
        <x:v>750000</x:v>
      </x:c>
      <x:c r="H11" s="25" t="str">
        <x:v>tank_killer</x:v>
      </x:c>
      <x:c r="I11" s="25" t="str">
        <x:v>Combines aircraft, anti-MOAB capture attacks, and ship support.</x:v>
      </x:c>
      <x:c r="J11" s="25" t="str">
        <x:v>present_in_retrieved_export_release_status_not_independently_verified</x:v>
      </x:c>
      <x:c r="K11" s="25" t="str">
        <x:v>Name, purchase price and XP were read from exported records. Full degree scaling and every ability were not extracted. Some records may precede release.</x:v>
      </x:c>
      <x:c r="L11" s="25" t="str">
        <x:v>https://raw.githubusercontent.com/Btd6ModHelper/btd6-game-data/main/Upgrades/MonkeyBuccaneer%20Paragon.json</x:v>
      </x:c>
    </x:row>
    <x:row r="12" ht="106" customHeight="1">
      <x:c r="A12" s="25" t="str">
        <x:v>Monkey Ace</x:v>
      </x:c>
      <x:c r="B12" s="25" t="str">
        <x:v>Goliath Doomship</x:v>
      </x:c>
      <x:c r="C12" s="30" t="n">
        <x:v>900000</x:v>
      </x:c>
      <x:c r="D12" s="30" t="n">
        <x:f>IF(C12="","",FLOOR(INT(C12*'Price rules'!$B$5),'Price rules'!$B$9)+IF(MOD(INT(C12*'Price rules'!$B$5),'Price rules'!$B$9)&lt;'Price rules'!$B$10,0,'Price rules'!$B$9))</x:f>
        <x:v>765000</x:v>
      </x:c>
      <x:c r="E12" s="30" t="n">
        <x:f>IF(C12="","",FLOOR(INT(C12*'Price rules'!$B$7),'Price rules'!$B$9)+IF(MOD(INT(C12*'Price rules'!$B$7),'Price rules'!$B$9)&lt;'Price rules'!$B$10,0,'Price rules'!$B$9))</x:f>
        <x:v>972000</x:v>
      </x:c>
      <x:c r="F12" s="30" t="n">
        <x:f>IF(C12="","",FLOOR(INT(C12*'Price rules'!$B$8),'Price rules'!$B$9)+IF(MOD(INT(C12*'Price rules'!$B$8),'Price rules'!$B$9)&lt;'Price rules'!$B$10,0,'Price rules'!$B$9))</x:f>
        <x:v>1080000</x:v>
      </x:c>
      <x:c r="G12" s="30" t="n">
        <x:v>1000000</x:v>
      </x:c>
      <x:c r="H12" s="25" t="str">
        <x:v>splash</x:v>
      </x:c>
      <x:c r="I12" s="25" t="str">
        <x:v>Uses heavy aircraft weapons and an activated bombing attack.</x:v>
      </x:c>
      <x:c r="J12" s="25" t="str">
        <x:v>present_in_retrieved_export_release_status_not_independently_verified</x:v>
      </x:c>
      <x:c r="K12" s="25" t="str">
        <x:v>Name, purchase price and XP were read from exported records. Full degree scaling and every ability were not extracted. Some records may precede release.</x:v>
      </x:c>
      <x:c r="L12" s="25" t="str">
        <x:v>https://raw.githubusercontent.com/Btd6ModHelper/btd6-game-data/main/Upgrades/MonkeyAce%20Paragon.json</x:v>
      </x:c>
    </x:row>
    <x:row r="13" ht="106" customHeight="1">
      <x:c r="A13" s="25" t="str">
        <x:v>Wizard Monkey</x:v>
      </x:c>
      <x:c r="B13" s="25" t="str">
        <x:v>Magus Perfectus</x:v>
      </x:c>
      <x:c r="C13" s="30" t="n">
        <x:v>800000</x:v>
      </x:c>
      <x:c r="D13" s="30" t="n">
        <x:f>IF(C13="","",FLOOR(INT(C13*'Price rules'!$B$5),'Price rules'!$B$9)+IF(MOD(INT(C13*'Price rules'!$B$5),'Price rules'!$B$9)&lt;'Price rules'!$B$10,0,'Price rules'!$B$9))</x:f>
        <x:v>680000</x:v>
      </x:c>
      <x:c r="E13" s="30" t="n">
        <x:f>IF(C13="","",FLOOR(INT(C13*'Price rules'!$B$7),'Price rules'!$B$9)+IF(MOD(INT(C13*'Price rules'!$B$7),'Price rules'!$B$9)&lt;'Price rules'!$B$10,0,'Price rules'!$B$9))</x:f>
        <x:v>864000</x:v>
      </x:c>
      <x:c r="F13" s="30" t="n">
        <x:f>IF(C13="","",FLOOR(INT(C13*'Price rules'!$B$8),'Price rules'!$B$9)+IF(MOD(INT(C13*'Price rules'!$B$8),'Price rules'!$B$9)&lt;'Price rules'!$B$10,0,'Price rules'!$B$9))</x:f>
        <x:v>960000</x:v>
      </x:c>
      <x:c r="G13" s="30" t="n">
        <x:v>1000000</x:v>
      </x:c>
      <x:c r="H13" s="25" t="str">
        <x:v>summoner</x:v>
      </x:c>
      <x:c r="I13" s="25" t="str">
        <x:v>Uses mana-dependent magic, a Phoenix, and transformation or explosion abilities.</x:v>
      </x:c>
      <x:c r="J13" s="25" t="str">
        <x:v>present_in_retrieved_export_release_status_not_independently_verified</x:v>
      </x:c>
      <x:c r="K13" s="25" t="str">
        <x:v>Name, purchase price and XP were read from exported records. Full degree scaling and every ability were not extracted. Some records may precede release.</x:v>
      </x:c>
      <x:c r="L13" s="25" t="str">
        <x:v>https://raw.githubusercontent.com/Btd6ModHelper/btd6-game-data/main/Upgrades/WizardMonkey%20Paragon.json</x:v>
      </x:c>
    </x:row>
    <x:row r="14" ht="106" customHeight="1">
      <x:c r="A14" s="25" t="str">
        <x:v>Ninja Monkey</x:v>
      </x:c>
      <x:c r="B14" s="25" t="str">
        <x:v>Ascended Shadow</x:v>
      </x:c>
      <x:c r="C14" s="30" t="n">
        <x:v>500000</x:v>
      </x:c>
      <x:c r="D14" s="30" t="n">
        <x:f>IF(C14="","",FLOOR(INT(C14*'Price rules'!$B$5),'Price rules'!$B$9)+IF(MOD(INT(C14*'Price rules'!$B$5),'Price rules'!$B$9)&lt;'Price rules'!$B$10,0,'Price rules'!$B$9))</x:f>
        <x:v>425000</x:v>
      </x:c>
      <x:c r="E14" s="30" t="n">
        <x:f>IF(C14="","",FLOOR(INT(C14*'Price rules'!$B$7),'Price rules'!$B$9)+IF(MOD(INT(C14*'Price rules'!$B$7),'Price rules'!$B$9)&lt;'Price rules'!$B$10,0,'Price rules'!$B$9))</x:f>
        <x:v>540000</x:v>
      </x:c>
      <x:c r="F14" s="30" t="n">
        <x:f>IF(C14="","",FLOOR(INT(C14*'Price rules'!$B$8),'Price rules'!$B$9)+IF(MOD(INT(C14*'Price rules'!$B$8),'Price rules'!$B$9)&lt;'Price rules'!$B$10,0,'Price rules'!$B$9))</x:f>
        <x:v>600000</x:v>
      </x:c>
      <x:c r="G14" s="30" t="n">
        <x:v>500000</x:v>
      </x:c>
      <x:c r="H14" s="25" t="str">
        <x:v>tank_killer</x:v>
      </x:c>
      <x:c r="I14" s="25" t="str">
        <x:v>Combines many shurikens, anti-MOAB bombs, and sabotage effects.</x:v>
      </x:c>
      <x:c r="J14" s="25" t="str">
        <x:v>present_in_retrieved_export_release_status_not_independently_verified</x:v>
      </x:c>
      <x:c r="K14" s="25" t="str">
        <x:v>Name, purchase price and XP were read from exported records. Full degree scaling and every ability were not extracted. Some records may precede release.</x:v>
      </x:c>
      <x:c r="L14" s="25" t="str">
        <x:v>https://raw.githubusercontent.com/Btd6ModHelper/btd6-game-data/main/Upgrades/NinjaMonkey%20Paragon.json</x:v>
      </x:c>
    </x:row>
    <x:row r="15" ht="106" customHeight="1">
      <x:c r="A15" s="25" t="str">
        <x:v>Druid</x:v>
      </x:c>
      <x:c r="B15" s="25" t="str">
        <x:v>Root of all Nature</x:v>
      </x:c>
      <x:c r="C15" s="30" t="n">
        <x:v>475000</x:v>
      </x:c>
      <x:c r="D15" s="30" t="n">
        <x:f>IF(C15="","",FLOOR(INT(C15*'Price rules'!$B$5),'Price rules'!$B$9)+IF(MOD(INT(C15*'Price rules'!$B$5),'Price rules'!$B$9)&lt;'Price rules'!$B$10,0,'Price rules'!$B$9))</x:f>
        <x:v>403750</x:v>
      </x:c>
      <x:c r="E15" s="30" t="n">
        <x:f>IF(C15="","",FLOOR(INT(C15*'Price rules'!$B$7),'Price rules'!$B$9)+IF(MOD(INT(C15*'Price rules'!$B$7),'Price rules'!$B$9)&lt;'Price rules'!$B$10,0,'Price rules'!$B$9))</x:f>
        <x:v>513000</x:v>
      </x:c>
      <x:c r="F15" s="30" t="n">
        <x:f>IF(C15="","",FLOOR(INT(C15*'Price rules'!$B$8),'Price rules'!$B$9)+IF(MOD(INT(C15*'Price rules'!$B$8),'Price rules'!$B$9)&lt;'Price rules'!$B$10,0,'Price rules'!$B$9))</x:f>
        <x:v>570000</x:v>
      </x:c>
      <x:c r="G15" s="30" t="n">
        <x:v>750000</x:v>
      </x:c>
      <x:c r="H15" s="25" t="str">
        <x:v>status</x:v>
      </x:c>
      <x:c r="I15" s="25" t="str">
        <x:v>Paragon record found in the exported data; full attack and ability mechanics are not normalized.</x:v>
      </x:c>
      <x:c r="J15" s="25" t="str">
        <x:v>present_in_retrieved_export_release_status_not_independently_verified</x:v>
      </x:c>
      <x:c r="K15" s="25" t="str">
        <x:v>Name, purchase price and XP were read from exported records. Full degree scaling and every ability were not extracted. Some records may precede release.</x:v>
      </x:c>
      <x:c r="L15" s="25" t="str">
        <x:v>https://raw.githubusercontent.com/Btd6ModHelper/btd6-game-data/main/Upgrades/Druid%20Paragon.json</x:v>
      </x:c>
    </x:row>
    <x:row r="16" ht="106" customHeight="1">
      <x:c r="A16" s="25" t="str">
        <x:v>Spike Factory</x:v>
      </x:c>
      <x:c r="B16" s="25" t="str">
        <x:v>Mega Massive Munitions Factory</x:v>
      </x:c>
      <x:c r="C16" s="30" t="n">
        <x:v>750000</x:v>
      </x:c>
      <x:c r="D16" s="30" t="n">
        <x:f>IF(C16="","",FLOOR(INT(C16*'Price rules'!$B$5),'Price rules'!$B$9)+IF(MOD(INT(C16*'Price rules'!$B$5),'Price rules'!$B$9)&lt;'Price rules'!$B$10,0,'Price rules'!$B$9))</x:f>
        <x:v>637500</x:v>
      </x:c>
      <x:c r="E16" s="30" t="n">
        <x:f>IF(C16="","",FLOOR(INT(C16*'Price rules'!$B$7),'Price rules'!$B$9)+IF(MOD(INT(C16*'Price rules'!$B$7),'Price rules'!$B$9)&lt;'Price rules'!$B$10,0,'Price rules'!$B$9))</x:f>
        <x:v>810000</x:v>
      </x:c>
      <x:c r="F16" s="30" t="n">
        <x:f>IF(C16="","",FLOOR(INT(C16*'Price rules'!$B$8),'Price rules'!$B$9)+IF(MOD(INT(C16*'Price rules'!$B$8),'Price rules'!$B$9)&lt;'Price rules'!$B$10,0,'Price rules'!$B$9))</x:f>
        <x:v>900000</x:v>
      </x:c>
      <x:c r="G16" s="30" t="n">
        <x:v>1000000</x:v>
      </x:c>
      <x:c r="H16" s="25" t="str">
        <x:v>summoner</x:v>
      </x:c>
      <x:c r="I16" s="25" t="str">
        <x:v>Paragon record found in the exported data; full mine and ability mechanics are not normalized.</x:v>
      </x:c>
      <x:c r="J16" s="25" t="str">
        <x:v>present_in_retrieved_export_release_status_not_independently_verified</x:v>
      </x:c>
      <x:c r="K16" s="25" t="str">
        <x:v>Name, purchase price and XP were read from exported records. Full degree scaling and every ability were not extracted. Some records may precede release.</x:v>
      </x:c>
      <x:c r="L16" s="25" t="str">
        <x:v>https://raw.githubusercontent.com/Btd6ModHelper/btd6-game-data/main/Upgrades/SpikeFactory%20Paragon.json</x:v>
      </x:c>
    </x:row>
    <x:row r="17" ht="106" customHeight="1">
      <x:c r="A17" s="25" t="str">
        <x:v>Engineer Monkey</x:v>
      </x:c>
      <x:c r="B17" s="25" t="str">
        <x:v>Master Builder</x:v>
      </x:c>
      <x:c r="C17" s="30" t="n">
        <x:v>600000</x:v>
      </x:c>
      <x:c r="D17" s="30" t="n">
        <x:f>IF(C17="","",FLOOR(INT(C17*'Price rules'!$B$5),'Price rules'!$B$9)+IF(MOD(INT(C17*'Price rules'!$B$5),'Price rules'!$B$9)&lt;'Price rules'!$B$10,0,'Price rules'!$B$9))</x:f>
        <x:v>510000</x:v>
      </x:c>
      <x:c r="E17" s="30" t="n">
        <x:f>IF(C17="","",FLOOR(INT(C17*'Price rules'!$B$7),'Price rules'!$B$9)+IF(MOD(INT(C17*'Price rules'!$B$7),'Price rules'!$B$9)&lt;'Price rules'!$B$10,0,'Price rules'!$B$9))</x:f>
        <x:v>648000</x:v>
      </x:c>
      <x:c r="F17" s="30" t="n">
        <x:f>IF(C17="","",FLOOR(INT(C17*'Price rules'!$B$8),'Price rules'!$B$9)+IF(MOD(INT(C17*'Price rules'!$B$8),'Price rules'!$B$9)&lt;'Price rules'!$B$10,0,'Price rules'!$B$9))</x:f>
        <x:v>720000</x:v>
      </x:c>
      <x:c r="G17" s="30" t="n">
        <x:v>750000</x:v>
      </x:c>
      <x:c r="H17" s="25" t="str">
        <x:v>summoner</x:v>
      </x:c>
      <x:c r="I17" s="25" t="str">
        <x:v>Deploys powerful sentries and has construction-related abilities.</x:v>
      </x:c>
      <x:c r="J17" s="25" t="str">
        <x:v>present_in_retrieved_export_release_status_not_independently_verified</x:v>
      </x:c>
      <x:c r="K17" s="25" t="str">
        <x:v>Name, purchase price and XP were read from exported records. Full degree scaling and every ability were not extracted. Some records may precede release.</x:v>
      </x:c>
      <x:c r="L17" s="25" t="str">
        <x:v>https://raw.githubusercontent.com/Btd6ModHelper/btd6-game-data/main/Upgrades/EngineerMonkey%20Paragon.json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647c3b6100ee41d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40" hidden="0" customWidth="1"/>
    <x:col min="3" max="3" width="40" hidden="0" customWidth="1"/>
  </x:cols>
  <x:sheetData>
    <x:row r="1" ht="38" customHeight="1">
      <x:c r="A1" s="8" t="str">
        <x:v>Ten generalized tower-defense roles</x:v>
      </x:c>
      <x:c r="B1" s="8"/>
      <x:c r="C1" s="8"/>
    </x:row>
    <x:row r="2" ht="34" customHeight="1">
      <x:c r="A2" s="13" t="str">
        <x:v>These categories are custom, not the game's Primary / Military / Magic / Support classes. Use exactly one primary role, with separate secondary roles for hybrids.</x:v>
      </x:c>
      <x:c r="B2" s="13"/>
      <x:c r="C2" s="13"/>
    </x:row>
    <x:row r="3">
      <x:c r="A3" s="4"/>
      <x:c r="B3" s="4"/>
      <x:c r="C3" s="4"/>
    </x:row>
    <x:row r="4" ht="34" customHeight="1">
      <x:c r="A4" s="19" t="str">
        <x:v>Category ID</x:v>
      </x:c>
      <x:c r="B4" s="19" t="str">
        <x:v>Definition</x:v>
      </x:c>
      <x:c r="C4" s="19" t="str">
        <x:v>Assignment rule</x:v>
      </x:c>
    </x:row>
    <x:row r="5" ht="72" customHeight="1">
      <x:c r="A5" s="25" t="str">
        <x:v>basic_dps</x:v>
      </x:c>
      <x:c r="B5" s="25" t="str">
        <x:v>Deals reliable direct damage without a stronger specialization in the other roles.</x:v>
      </x:c>
      <x:c r="C5" s="25" t="str">
        <x:v>Choose the dominant role of the selected configuration.</x:v>
      </x:c>
    </x:row>
    <x:row r="6" ht="72" customHeight="1">
      <x:c r="A6" s="25" t="str">
        <x:v>sniper</x:v>
      </x:c>
      <x:c r="B6" s="25" t="str">
        <x:v>Prioritizes long-range, accurate, high-impact attacks against selected targets.</x:v>
      </x:c>
      <x:c r="C6" s="25" t="str">
        <x:v>Choose the dominant role of the selected configuration.</x:v>
      </x:c>
    </x:row>
    <x:row r="7" ht="72" customHeight="1">
      <x:c r="A7" s="25" t="str">
        <x:v>rapid_fire</x:v>
      </x:c>
      <x:c r="B7" s="25" t="str">
        <x:v>Deals sustained damage through very frequent attacks or dense projectile volleys.</x:v>
      </x:c>
      <x:c r="C7" s="25" t="str">
        <x:v>Choose the dominant role of the selected configuration.</x:v>
      </x:c>
    </x:row>
    <x:row r="8" ht="72" customHeight="1">
      <x:c r="A8" s="25" t="str">
        <x:v>splash</x:v>
      </x:c>
      <x:c r="B8" s="25" t="str">
        <x:v>Clears groups through explosions, area attacks, bouncing attacks, or chain damage.</x:v>
      </x:c>
      <x:c r="C8" s="25" t="str">
        <x:v>Choose the dominant role of the selected configuration.</x:v>
      </x:c>
    </x:row>
    <x:row r="9" ht="72" customHeight="1">
      <x:c r="A9" s="25" t="str">
        <x:v>slow</x:v>
      </x:c>
      <x:c r="B9" s="25" t="str">
        <x:v>Primarily reduces movement speed or repeatedly pushes enemies backward.</x:v>
      </x:c>
      <x:c r="C9" s="25" t="str">
        <x:v>Choose the dominant role of the selected configuration.</x:v>
      </x:c>
    </x:row>
    <x:row r="10" ht="72" customHeight="1">
      <x:c r="A10" s="25" t="str">
        <x:v>support</x:v>
      </x:c>
      <x:c r="B10" s="25" t="str">
        <x:v>Primarily improves other units through buffs, detection, discounts, or cooldown reduction.</x:v>
      </x:c>
      <x:c r="C10" s="25" t="str">
        <x:v>Choose the dominant role of the selected configuration.</x:v>
      </x:c>
    </x:row>
    <x:row r="11" ht="72" customHeight="1">
      <x:c r="A11" s="25" t="str">
        <x:v>economy</x:v>
      </x:c>
      <x:c r="B11" s="25" t="str">
        <x:v>Primarily generates money, resources, or recoverable economic value.</x:v>
      </x:c>
      <x:c r="C11" s="25" t="str">
        <x:v>Choose the dominant role of the selected configuration.</x:v>
      </x:c>
    </x:row>
    <x:row r="12" ht="72" customHeight="1">
      <x:c r="A12" s="25" t="str">
        <x:v>tank_killer</x:v>
      </x:c>
      <x:c r="B12" s="25" t="str">
        <x:v>Specializes in high-health enemies, armored enemies, bosses, or large single-target bursts.</x:v>
      </x:c>
      <x:c r="C12" s="25" t="str">
        <x:v>Choose the dominant role of the selected configuration.</x:v>
      </x:c>
    </x:row>
    <x:row r="13" ht="72" customHeight="1">
      <x:c r="A13" s="25" t="str">
        <x:v>status</x:v>
      </x:c>
      <x:c r="B13" s="25" t="str">
        <x:v>Primarily applies hard control or harmful effects such as stun, freeze, burn, poison, or damage vulnerability.</x:v>
      </x:c>
      <x:c r="C13" s="25" t="str">
        <x:v>Choose the dominant role of the selected configuration.</x:v>
      </x:c>
    </x:row>
    <x:row r="14" ht="72" customHeight="1">
      <x:c r="A14" s="25" t="str">
        <x:v>summoner</x:v>
      </x:c>
      <x:c r="B14" s="25" t="str">
        <x:v>Primarily deploys autonomous attackers, minions, or persistent traps that deal damage or control enemies.</x:v>
      </x:c>
      <x:c r="C14" s="25" t="str">
        <x:v>Choose the dominant role of the selected configuration.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5c23c2dacf95451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1" hidden="0" customWidth="1"/>
    <x:col min="3" max="3" width="22" hidden="0" customWidth="1"/>
    <x:col min="4" max="4" width="22" hidden="0" customWidth="1"/>
    <x:col min="5" max="5" width="16" hidden="0" customWidth="1"/>
    <x:col min="6" max="6" width="40" hidden="0" customWidth="1"/>
    <x:col min="7" max="7" width="40" hidden="0" customWidth="1"/>
  </x:cols>
  <x:sheetData>
    <x:row r="1" ht="38" customHeight="1">
      <x:c r="A1" s="8" t="str">
        <x:v>Historical wiki comparison</x:v>
      </x:c>
      <x:c r="B1" s="8"/>
      <x:c r="C1" s="8"/>
      <x:c r="D1" s="8"/>
      <x:c r="E1" s="8"/>
      <x:c r="F1" s="8"/>
      <x:c r="G1" s="8"/>
    </x:row>
    <x:row r="2" ht="34" customHeight="1">
      <x:c r="A2" s="13" t="str">
        <x:v>Do not silently combine these older values with the community export. Historical upgrade XP appears in the Upgrades sheet.</x:v>
      </x:c>
      <x:c r="B2" s="13"/>
      <x:c r="C2" s="13"/>
      <x:c r="D2" s="13"/>
      <x:c r="E2" s="13"/>
      <x:c r="F2" s="13"/>
      <x:c r="G2" s="13"/>
    </x:row>
    <x:row r="3">
      <x:c r="A3" s="4"/>
      <x:c r="B3" s="4"/>
      <x:c r="C3" s="4"/>
      <x:c r="D3" s="4"/>
      <x:c r="E3" s="4"/>
      <x:c r="F3" s="4"/>
      <x:c r="G3" s="4"/>
    </x:row>
    <x:row r="4" ht="34" customHeight="1">
      <x:c r="A4" s="19" t="str">
        <x:v>Tower</x:v>
      </x:c>
      <x:c r="B4" s="19" t="str">
        <x:v>Base-stat table version</x:v>
      </x:c>
      <x:c r="C4" s="19" t="str">
        <x:v>Wiki Medium placement</x:v>
      </x:c>
      <x:c r="D4" s="19" t="str">
        <x:v>Cost-table Medium</x:v>
      </x:c>
      <x:c r="E4" s="19" t="str">
        <x:v>Difference</x:v>
      </x:c>
      <x:c r="F4" s="19" t="str">
        <x:v>Version interpretation</x:v>
      </x:c>
      <x:c r="G4" s="19" t="str">
        <x:v>Wiki source URL</x:v>
      </x:c>
    </x:row>
    <x:row r="5" ht="60" customHeight="1">
      <x:c r="A5" s="25" t="str">
        <x:v>Dart Monkey</x:v>
      </x:c>
      <x:c r="B5" s="25" t="str">
        <x:v>48.0</x:v>
      </x:c>
      <x:c r="C5" s="38" t="n">
        <x:v>200</x:v>
      </x:c>
      <x:c r="D5" s="38" t="n">
        <x:v>200</x:v>
      </x:c>
      <x:c r="E5" s="38" t="n">
        <x:f>D5-C5</x:f>
        <x:v>0</x:v>
      </x:c>
      <x:c r="F5" s="25" t="str">
        <x:v>Historical article section; not a single patch stamp for the whole page.</x:v>
      </x:c>
      <x:c r="G5" s="25" t="str">
        <x:v>https://www.bloonswiki.com/Dart_Monkey_(BTD6)</x:v>
      </x:c>
    </x:row>
    <x:row r="6" ht="60" customHeight="1">
      <x:c r="A6" s="25" t="str">
        <x:v>Bomb Shooter</x:v>
      </x:c>
      <x:c r="B6" s="25" t="str">
        <x:v>47.0</x:v>
      </x:c>
      <x:c r="C6" s="38" t="n">
        <x:v>375</x:v>
      </x:c>
      <x:c r="D6" s="38" t="n">
        <x:v>375</x:v>
      </x:c>
      <x:c r="E6" s="38" t="n">
        <x:f>D6-C6</x:f>
        <x:v>0</x:v>
      </x:c>
      <x:c r="F6" s="25" t="str">
        <x:v>Historical article section; not a single patch stamp for the whole page.</x:v>
      </x:c>
      <x:c r="G6" s="25" t="str">
        <x:v>https://www.bloonswiki.com/Bomb_Shooter_(BTD6)</x:v>
      </x:c>
    </x:row>
    <x:row r="7" ht="60" customHeight="1">
      <x:c r="A7" s="25" t="str">
        <x:v>Ice Monkey</x:v>
      </x:c>
      <x:c r="B7" s="25" t="str">
        <x:v>46.2</x:v>
      </x:c>
      <x:c r="C7" s="38" t="n">
        <x:v>500</x:v>
      </x:c>
      <x:c r="D7" s="38" t="n">
        <x:v>400</x:v>
      </x:c>
      <x:c r="E7" s="38" t="n">
        <x:f>D7-C7</x:f>
        <x:v>-100</x:v>
      </x:c>
      <x:c r="F7" s="25" t="str">
        <x:v>Historical article section; not a single patch stamp for the whole page.</x:v>
      </x:c>
      <x:c r="G7" s="25" t="str">
        <x:v>https://www.bloonswiki.com/Ice_Monkey_(BTD6)</x:v>
      </x:c>
    </x:row>
    <x:row r="8" ht="60" customHeight="1">
      <x:c r="A8" s="25" t="str">
        <x:v>Mermonkey</x:v>
      </x:c>
      <x:c r="B8" s="25" t="str">
        <x:v>48.0</x:v>
      </x:c>
      <x:c r="C8" s="38" t="n">
        <x:v>475</x:v>
      </x:c>
      <x:c r="D8" s="38" t="n">
        <x:v>300</x:v>
      </x:c>
      <x:c r="E8" s="38" t="n">
        <x:f>D8-C8</x:f>
        <x:v>-175</x:v>
      </x:c>
      <x:c r="F8" s="25" t="str">
        <x:v>Historical article section; not a single patch stamp for the whole page.</x:v>
      </x:c>
      <x:c r="G8" s="25" t="str">
        <x:v>https://www.bloonswiki.com/Mermonkey_(BTD6)</x:v>
      </x:c>
    </x:row>
    <x:row r="9" ht="60" customHeight="1">
      <x:c r="A9" s="25" t="str">
        <x:v>Monkey Village</x:v>
      </x:c>
      <x:c r="B9" s="25" t="str">
        <x:v>46.2</x:v>
      </x:c>
      <x:c r="C9" s="38" t="n">
        <x:v>1200</x:v>
      </x:c>
      <x:c r="D9" s="38" t="n">
        <x:v>1200</x:v>
      </x:c>
      <x:c r="E9" s="38" t="n">
        <x:f>D9-C9</x:f>
        <x:v>0</x:v>
      </x:c>
      <x:c r="F9" s="25" t="str">
        <x:v>Historical article section; not a single patch stamp for the whole page.</x:v>
      </x:c>
      <x:c r="G9" s="25" t="str">
        <x:v>https://www.bloonswiki.com/Monkey_Village_(BTD6)</x:v>
      </x:c>
    </x:row>
    <x:row r="10" ht="60" customHeight="1">
      <x:c r="A10" s="25" t="str">
        <x:v>Engineer Monkey</x:v>
      </x:c>
      <x:c r="B10" s="25" t="str">
        <x:v>47.0</x:v>
      </x:c>
      <x:c r="C10" s="38" t="n">
        <x:v>350</x:v>
      </x:c>
      <x:c r="D10" s="38" t="n">
        <x:v>350</x:v>
      </x:c>
      <x:c r="E10" s="38" t="n">
        <x:f>D10-C10</x:f>
        <x:v>0</x:v>
      </x:c>
      <x:c r="F10" s="25" t="str">
        <x:v>Historical article section; not a single patch stamp for the whole page.</x:v>
      </x:c>
      <x:c r="G10" s="25" t="str">
        <x:v>https://www.bloonswiki.com/Engineer_Monkey_(BTD6)</x:v>
      </x:c>
    </x:row>
    <x:row r="11" ht="60" customHeight="1">
      <x:c r="A11" s="25" t="str">
        <x:v>Beast Handler</x:v>
      </x:c>
      <x:c r="B11" s="25" t="str">
        <x:v>46.0</x:v>
      </x:c>
      <x:c r="C11" s="38" t="n">
        <x:v>250</x:v>
      </x:c>
      <x:c r="D11" s="38" t="n">
        <x:v>250</x:v>
      </x:c>
      <x:c r="E11" s="38" t="n">
        <x:f>D11-C11</x:f>
        <x:v>0</x:v>
      </x:c>
      <x:c r="F11" s="25" t="str">
        <x:v>Historical article section; not a single patch stamp for the whole page.</x:v>
      </x:c>
      <x:c r="G11" s="25" t="str">
        <x:v>https://www.bloonswiki.com/Beast_Handler_(BTD6)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fdd50d3ee8714c6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40" hidden="0" customWidth="1"/>
    <x:col min="4" max="4" width="40" hidden="0" customWidth="1"/>
    <x:col min="5" max="5" width="17" hidden="0" customWidth="1"/>
    <x:col min="6" max="6" width="18" hidden="0" customWidth="1"/>
  </x:cols>
  <x:sheetData>
    <x:row r="1" ht="38" customHeight="1">
      <x:c r="A1" s="8" t="str">
        <x:v>Sources and provenance</x:v>
      </x:c>
      <x:c r="B1" s="8"/>
      <x:c r="C1" s="8"/>
      <x:c r="D1" s="8"/>
      <x:c r="E1" s="8"/>
      <x:c r="F1" s="8"/>
    </x:row>
    <x:row r="2" ht="34" customHeight="1">
      <x:c r="A2" s="13" t="str">
        <x:v>Access dates do not prove patch currency. Model reference URLs elsewhere locate records; not every referenced upgraded model was fully extracted.</x:v>
      </x:c>
      <x:c r="B2" s="13"/>
      <x:c r="C2" s="13"/>
      <x:c r="D2" s="13"/>
      <x:c r="E2" s="13"/>
      <x:c r="F2" s="13"/>
    </x:row>
    <x:row r="3">
      <x:c r="A3" s="4"/>
      <x:c r="B3" s="4"/>
      <x:c r="C3" s="4"/>
      <x:c r="D3" s="4"/>
      <x:c r="E3" s="4"/>
      <x:c r="F3" s="4"/>
    </x:row>
    <x:row r="4" ht="34" customHeight="1">
      <x:c r="A4" s="19" t="str">
        <x:v>Source ID</x:v>
      </x:c>
      <x:c r="B4" s="19" t="str">
        <x:v>Title</x:v>
      </x:c>
      <x:c r="C4" s="19" t="str">
        <x:v>URL</x:v>
      </x:c>
      <x:c r="D4" s="19" t="str">
        <x:v>Used for</x:v>
      </x:c>
      <x:c r="E4" s="19" t="str">
        <x:v>Version label</x:v>
      </x:c>
      <x:c r="F4" s="19" t="str">
        <x:v>Retrieved on</x:v>
      </x:c>
    </x:row>
    <x:row r="5" ht="100" customHeight="1">
      <x:c r="A5" s="25" t="str">
        <x:v>requested_roster</x:v>
      </x:c>
      <x:c r="B5" s="25" t="str">
        <x:v>User-supplied BTD6 page and roster</x:v>
      </x:c>
      <x:c r="C5" s="25" t="str">
        <x:v>https://www.bloonswiki.com/Bloons_TD_6</x:v>
      </x:c>
      <x:c r="D5" s="25" t="str">
        <x:v>Scope: the 26 tower names explicitly supplied by the user. Full page was not consistently accessible.</x:v>
      </x:c>
      <x:c r="E5" s="25"/>
      <x:c r="F5" s="25" t="str">
        <x:v>2026-09-20</x:v>
      </x:c>
    </x:row>
    <x:row r="6" ht="100" customHeight="1">
      <x:c r="A6" s="25" t="str">
        <x:v>community_costs</x:v>
      </x:c>
      <x:c r="B6" s="25" t="str">
        <x:v>Cyber Quincy cost table</x:v>
      </x:c>
      <x:c r="C6" s="25" t="str">
        <x:v>https://raw.githubusercontent.com/hemisemidemipresent/cyberquincy/master/jsons/costs.json</x:v>
      </x:c>
      <x:c r="D6" s="25" t="str">
        <x:v>All 26 placement costs and 390 listed incremental Medium costs; one Monkeyopolis entry treated as conditional.</x:v>
      </x:c>
      <x:c r="E6" s="25"/>
      <x:c r="F6" s="25" t="str">
        <x:v>2026-09-20</x:v>
      </x:c>
    </x:row>
    <x:row r="7" ht="100" customHeight="1">
      <x:c r="A7" s="25" t="str">
        <x:v>price_rule</x:v>
      </x:c>
      <x:c r="B7" s="25" t="str">
        <x:v>Cyber Quincy difficulty price function</x:v>
      </x:c>
      <x:c r="C7" s="25" t="str">
        <x:v>https://raw.githubusercontent.com/hemisemidemipresent/cyberquincy/master/helpers/bloons-general.js</x:v>
      </x:c>
      <x:c r="D7" s="25" t="str">
        <x:v>Calculated Easy, Hard and Impoppable values. Uses factors 0.85, 1.08 and 1.20; upgrade values are floored before the source-specific five-cash rounding rule.</x:v>
      </x:c>
      <x:c r="E7" s="25"/>
      <x:c r="F7" s="25" t="str">
        <x:v>2026-09-20</x:v>
      </x:c>
    </x:row>
    <x:row r="8" ht="100" customHeight="1">
      <x:c r="A8" s="25" t="str">
        <x:v>game_text</x:v>
      </x:c>
      <x:c r="B8" s="25" t="str">
        <x:v>Community export of game localization</x:v>
      </x:c>
      <x:c r="C8" s="25" t="str">
        <x:v>https://raw.githubusercontent.com/Btd6ModHelper/btd6-game-data/main/textTable.json</x:v>
      </x:c>
      <x:c r="D8" s="25" t="str">
        <x:v>Names and factual mechanics used to write original summaries. Not a complete copy of the localization file. Strings may include unused or unreleased content.</x:v>
      </x:c>
      <x:c r="E8" s="25"/>
      <x:c r="F8" s="25" t="str">
        <x:v>2026-09-20</x:v>
      </x:c>
    </x:row>
    <x:row r="9" ht="100" customHeight="1">
      <x:c r="A9" s="25" t="str">
        <x:v>game_export</x:v>
      </x:c>
      <x:c r="B9" s="25" t="str">
        <x:v>BTD6 Mod Helper game-data repository</x:v>
      </x:c>
      <x:c r="C9" s="25" t="str">
        <x:v>https://github.com/Btd6ModHelper/btd6-game-data</x:v>
      </x:c>
      <x:c r="D9" s="25" t="str">
        <x:v>Primary model files for base combat values, selected ability cooldowns, and Paragon records. Community-maintained export, not an official balance database.</x:v>
      </x:c>
      <x:c r="E9" s="25"/>
      <x:c r="F9" s="25" t="str">
        <x:v>2026-09-20</x:v>
      </x:c>
    </x:row>
    <x:row r="10" ht="100" customHeight="1">
      <x:c r="A10" s="25" t="str">
        <x:v>base_dart_monkey</x:v>
      </x:c>
      <x:c r="B10" s="25" t="str">
        <x:v>Dart Monkey base model</x:v>
      </x:c>
      <x:c r="C10" s="25" t="str">
        <x:v>https://raw.githubusercontent.com/Btd6ModHelper/btd6-game-data/main/Towers/DartMonkey/DartMonkey.json</x:v>
      </x:c>
      <x:c r="D10" s="25" t="str">
        <x:v>Inspected 000 model: attack component, damage, pierce, interval and local range where applicable.</x:v>
      </x:c>
      <x:c r="E10" s="25"/>
      <x:c r="F10" s="25" t="str">
        <x:v>2026-09-20</x:v>
      </x:c>
    </x:row>
    <x:row r="11" ht="100" customHeight="1">
      <x:c r="A11" s="25" t="str">
        <x:v>base_boomerang_monkey</x:v>
      </x:c>
      <x:c r="B11" s="25" t="str">
        <x:v>Boomerang Monkey base model</x:v>
      </x:c>
      <x:c r="C11" s="25" t="str">
        <x:v>https://raw.githubusercontent.com/Btd6ModHelper/btd6-game-data/main/Towers/BoomerangMonkey/BoomerangMonkey.json</x:v>
      </x:c>
      <x:c r="D11" s="25" t="str">
        <x:v>Inspected 000 model: attack component, damage, pierce, interval and local range where applicable.</x:v>
      </x:c>
      <x:c r="E11" s="25"/>
      <x:c r="F11" s="25" t="str">
        <x:v>2026-09-20</x:v>
      </x:c>
    </x:row>
    <x:row r="12" ht="100" customHeight="1">
      <x:c r="A12" s="25" t="str">
        <x:v>base_bomb_shooter</x:v>
      </x:c>
      <x:c r="B12" s="25" t="str">
        <x:v>Bomb Shooter base model</x:v>
      </x:c>
      <x:c r="C12" s="25" t="str">
        <x:v>https://raw.githubusercontent.com/Btd6ModHelper/btd6-game-data/main/Towers/BombShooter/BombShooter.json</x:v>
      </x:c>
      <x:c r="D12" s="25" t="str">
        <x:v>Inspected 000 model: attack component, damage, pierce, interval and local range where applicable.</x:v>
      </x:c>
      <x:c r="E12" s="25"/>
      <x:c r="F12" s="25" t="str">
        <x:v>2026-09-20</x:v>
      </x:c>
    </x:row>
    <x:row r="13" ht="100" customHeight="1">
      <x:c r="A13" s="25" t="str">
        <x:v>base_tack_shooter</x:v>
      </x:c>
      <x:c r="B13" s="25" t="str">
        <x:v>Tack Shooter base model</x:v>
      </x:c>
      <x:c r="C13" s="25" t="str">
        <x:v>https://raw.githubusercontent.com/Btd6ModHelper/btd6-game-data/main/Towers/TackShooter/TackShooter.json</x:v>
      </x:c>
      <x:c r="D13" s="25" t="str">
        <x:v>Inspected 000 model: attack component, damage, pierce, interval and local range where applicable.</x:v>
      </x:c>
      <x:c r="E13" s="25"/>
      <x:c r="F13" s="25" t="str">
        <x:v>2026-09-20</x:v>
      </x:c>
    </x:row>
    <x:row r="14" ht="100" customHeight="1">
      <x:c r="A14" s="25" t="str">
        <x:v>base_ice_monkey</x:v>
      </x:c>
      <x:c r="B14" s="25" t="str">
        <x:v>Ice Monkey base model</x:v>
      </x:c>
      <x:c r="C14" s="25" t="str">
        <x:v>https://raw.githubusercontent.com/Btd6ModHelper/btd6-game-data/main/Towers/IceMonkey/IceMonkey.json</x:v>
      </x:c>
      <x:c r="D14" s="25" t="str">
        <x:v>Inspected 000 model: attack component, damage, pierce, interval and local range where applicable.</x:v>
      </x:c>
      <x:c r="E14" s="25"/>
      <x:c r="F14" s="25" t="str">
        <x:v>2026-09-20</x:v>
      </x:c>
    </x:row>
    <x:row r="15" ht="100" customHeight="1">
      <x:c r="A15" s="25" t="str">
        <x:v>base_glue_gunner</x:v>
      </x:c>
      <x:c r="B15" s="25" t="str">
        <x:v>Glue Gunner base model</x:v>
      </x:c>
      <x:c r="C15" s="25" t="str">
        <x:v>https://raw.githubusercontent.com/Btd6ModHelper/btd6-game-data/main/Towers/GlueGunner/GlueGunner.json</x:v>
      </x:c>
      <x:c r="D15" s="25" t="str">
        <x:v>Inspected 000 model: attack component, damage, pierce, interval and local range where applicable.</x:v>
      </x:c>
      <x:c r="E15" s="25"/>
      <x:c r="F15" s="25" t="str">
        <x:v>2026-09-20</x:v>
      </x:c>
    </x:row>
    <x:row r="16" ht="100" customHeight="1">
      <x:c r="A16" s="25" t="str">
        <x:v>base_desperado</x:v>
      </x:c>
      <x:c r="B16" s="25" t="str">
        <x:v>Desperado base model</x:v>
      </x:c>
      <x:c r="C16" s="25" t="str">
        <x:v>https://raw.githubusercontent.com/Btd6ModHelper/btd6-game-data/main/Towers/Desperado/Desperado.json</x:v>
      </x:c>
      <x:c r="D16" s="25" t="str">
        <x:v>Inspected 000 model: attack component, damage, pierce, interval and local range where applicable.</x:v>
      </x:c>
      <x:c r="E16" s="25"/>
      <x:c r="F16" s="25" t="str">
        <x:v>2026-09-20</x:v>
      </x:c>
    </x:row>
    <x:row r="17" ht="100" customHeight="1">
      <x:c r="A17" s="25" t="str">
        <x:v>base_sniper_monkey</x:v>
      </x:c>
      <x:c r="B17" s="25" t="str">
        <x:v>Sniper Monkey base model</x:v>
      </x:c>
      <x:c r="C17" s="25" t="str">
        <x:v>https://raw.githubusercontent.com/Btd6ModHelper/btd6-game-data/main/Towers/SniperMonkey/SniperMonkey.json</x:v>
      </x:c>
      <x:c r="D17" s="25" t="str">
        <x:v>Inspected 000 model: attack component, damage, pierce, interval and local range where applicable.</x:v>
      </x:c>
      <x:c r="E17" s="25"/>
      <x:c r="F17" s="25" t="str">
        <x:v>2026-09-20</x:v>
      </x:c>
    </x:row>
    <x:row r="18" ht="100" customHeight="1">
      <x:c r="A18" s="25" t="str">
        <x:v>base_monkey_sub</x:v>
      </x:c>
      <x:c r="B18" s="25" t="str">
        <x:v>Monkey Sub base model</x:v>
      </x:c>
      <x:c r="C18" s="25" t="str">
        <x:v>https://raw.githubusercontent.com/Btd6ModHelper/btd6-game-data/main/Towers/MonkeySub/MonkeySub.json</x:v>
      </x:c>
      <x:c r="D18" s="25" t="str">
        <x:v>Inspected 000 model: attack component, damage, pierce, interval and local range where applicable.</x:v>
      </x:c>
      <x:c r="E18" s="25"/>
      <x:c r="F18" s="25" t="str">
        <x:v>2026-09-20</x:v>
      </x:c>
    </x:row>
    <x:row r="19" ht="100" customHeight="1">
      <x:c r="A19" s="25" t="str">
        <x:v>base_monkey_buccaneer</x:v>
      </x:c>
      <x:c r="B19" s="25" t="str">
        <x:v>Monkey Buccaneer base model</x:v>
      </x:c>
      <x:c r="C19" s="25" t="str">
        <x:v>https://raw.githubusercontent.com/Btd6ModHelper/btd6-game-data/main/Towers/MonkeyBuccaneer/MonkeyBuccaneer.json</x:v>
      </x:c>
      <x:c r="D19" s="25" t="str">
        <x:v>Inspected 000 model: attack component, damage, pierce, interval and local range where applicable.</x:v>
      </x:c>
      <x:c r="E19" s="25"/>
      <x:c r="F19" s="25" t="str">
        <x:v>2026-09-20</x:v>
      </x:c>
    </x:row>
    <x:row r="20" ht="100" customHeight="1">
      <x:c r="A20" s="25" t="str">
        <x:v>base_monkey_ace</x:v>
      </x:c>
      <x:c r="B20" s="25" t="str">
        <x:v>Monkey Ace base model</x:v>
      </x:c>
      <x:c r="C20" s="25" t="str">
        <x:v>https://raw.githubusercontent.com/Btd6ModHelper/btd6-game-data/main/Towers/MonkeyAce/MonkeyAce.json</x:v>
      </x:c>
      <x:c r="D20" s="25" t="str">
        <x:v>Inspected 000 model: attack component, damage, pierce, interval and local range where applicable.</x:v>
      </x:c>
      <x:c r="E20" s="25"/>
      <x:c r="F20" s="25" t="str">
        <x:v>2026-09-20</x:v>
      </x:c>
    </x:row>
    <x:row r="21" ht="100" customHeight="1">
      <x:c r="A21" s="25" t="str">
        <x:v>base_heli_pilot</x:v>
      </x:c>
      <x:c r="B21" s="25" t="str">
        <x:v>Heli Pilot base model</x:v>
      </x:c>
      <x:c r="C21" s="25" t="str">
        <x:v>https://raw.githubusercontent.com/Btd6ModHelper/btd6-game-data/main/Towers/HeliPilot/HeliPilot.json</x:v>
      </x:c>
      <x:c r="D21" s="25" t="str">
        <x:v>Inspected 000 model: attack component, damage, pierce, interval and local range where applicable.</x:v>
      </x:c>
      <x:c r="E21" s="25"/>
      <x:c r="F21" s="25" t="str">
        <x:v>2026-09-20</x:v>
      </x:c>
    </x:row>
    <x:row r="22" ht="100" customHeight="1">
      <x:c r="A22" s="25" t="str">
        <x:v>base_mortar_monkey</x:v>
      </x:c>
      <x:c r="B22" s="25" t="str">
        <x:v>Mortar Monkey base model</x:v>
      </x:c>
      <x:c r="C22" s="25" t="str">
        <x:v>https://raw.githubusercontent.com/Btd6ModHelper/btd6-game-data/main/Towers/MortarMonkey/MortarMonkey.json</x:v>
      </x:c>
      <x:c r="D22" s="25" t="str">
        <x:v>Inspected 000 model: attack component, damage, pierce, interval and local range where applicable.</x:v>
      </x:c>
      <x:c r="E22" s="25"/>
      <x:c r="F22" s="25" t="str">
        <x:v>2026-09-20</x:v>
      </x:c>
    </x:row>
    <x:row r="23" ht="100" customHeight="1">
      <x:c r="A23" s="25" t="str">
        <x:v>base_dartling_gunner</x:v>
      </x:c>
      <x:c r="B23" s="25" t="str">
        <x:v>Dartling Gunner base model</x:v>
      </x:c>
      <x:c r="C23" s="25" t="str">
        <x:v>https://raw.githubusercontent.com/Btd6ModHelper/btd6-game-data/main/Towers/DartlingGunner/DartlingGunner.json</x:v>
      </x:c>
      <x:c r="D23" s="25" t="str">
        <x:v>Inspected 000 model: attack component, damage, pierce, interval and local range where applicable.</x:v>
      </x:c>
      <x:c r="E23" s="25"/>
      <x:c r="F23" s="25" t="str">
        <x:v>2026-09-20</x:v>
      </x:c>
    </x:row>
    <x:row r="24" ht="100" customHeight="1">
      <x:c r="A24" s="25" t="str">
        <x:v>base_wizard_monkey</x:v>
      </x:c>
      <x:c r="B24" s="25" t="str">
        <x:v>Wizard Monkey base model</x:v>
      </x:c>
      <x:c r="C24" s="25" t="str">
        <x:v>https://raw.githubusercontent.com/Btd6ModHelper/btd6-game-data/main/Towers/WizardMonkey/WizardMonkey.json</x:v>
      </x:c>
      <x:c r="D24" s="25" t="str">
        <x:v>Inspected 000 model: attack component, damage, pierce, interval and local range where applicable.</x:v>
      </x:c>
      <x:c r="E24" s="25"/>
      <x:c r="F24" s="25" t="str">
        <x:v>2026-09-20</x:v>
      </x:c>
    </x:row>
    <x:row r="25" ht="100" customHeight="1">
      <x:c r="A25" s="25" t="str">
        <x:v>base_super_monkey</x:v>
      </x:c>
      <x:c r="B25" s="25" t="str">
        <x:v>Super Monkey base model</x:v>
      </x:c>
      <x:c r="C25" s="25" t="str">
        <x:v>https://raw.githubusercontent.com/Btd6ModHelper/btd6-game-data/main/Towers/SuperMonkey/SuperMonkey.json</x:v>
      </x:c>
      <x:c r="D25" s="25" t="str">
        <x:v>Inspected 000 model: attack component, damage, pierce, interval and local range where applicable.</x:v>
      </x:c>
      <x:c r="E25" s="25"/>
      <x:c r="F25" s="25" t="str">
        <x:v>2026-09-20</x:v>
      </x:c>
    </x:row>
    <x:row r="26" ht="100" customHeight="1">
      <x:c r="A26" s="25" t="str">
        <x:v>base_ninja_monkey</x:v>
      </x:c>
      <x:c r="B26" s="25" t="str">
        <x:v>Ninja Monkey base model</x:v>
      </x:c>
      <x:c r="C26" s="25" t="str">
        <x:v>https://raw.githubusercontent.com/Btd6ModHelper/btd6-game-data/main/Towers/NinjaMonkey/NinjaMonkey.json</x:v>
      </x:c>
      <x:c r="D26" s="25" t="str">
        <x:v>Inspected 000 model: attack component, damage, pierce, interval and local range where applicable.</x:v>
      </x:c>
      <x:c r="E26" s="25"/>
      <x:c r="F26" s="25" t="str">
        <x:v>2026-09-20</x:v>
      </x:c>
    </x:row>
    <x:row r="27" ht="100" customHeight="1">
      <x:c r="A27" s="25" t="str">
        <x:v>base_alchemist</x:v>
      </x:c>
      <x:c r="B27" s="25" t="str">
        <x:v>Alchemist base model</x:v>
      </x:c>
      <x:c r="C27" s="25" t="str">
        <x:v>https://raw.githubusercontent.com/Btd6ModHelper/btd6-game-data/main/Towers/Alchemist/Alchemist.json</x:v>
      </x:c>
      <x:c r="D27" s="25" t="str">
        <x:v>Inspected 000 model: attack component, damage, pierce, interval and local range where applicable.</x:v>
      </x:c>
      <x:c r="E27" s="25"/>
      <x:c r="F27" s="25" t="str">
        <x:v>2026-09-20</x:v>
      </x:c>
    </x:row>
    <x:row r="28" ht="100" customHeight="1">
      <x:c r="A28" s="25" t="str">
        <x:v>base_druid</x:v>
      </x:c>
      <x:c r="B28" s="25" t="str">
        <x:v>Druid base model</x:v>
      </x:c>
      <x:c r="C28" s="25" t="str">
        <x:v>https://raw.githubusercontent.com/Btd6ModHelper/btd6-game-data/main/Towers/Druid/Druid.json</x:v>
      </x:c>
      <x:c r="D28" s="25" t="str">
        <x:v>Inspected 000 model: attack component, damage, pierce, interval and local range where applicable.</x:v>
      </x:c>
      <x:c r="E28" s="25"/>
      <x:c r="F28" s="25" t="str">
        <x:v>2026-09-20</x:v>
      </x:c>
    </x:row>
    <x:row r="29" ht="100" customHeight="1">
      <x:c r="A29" s="25" t="str">
        <x:v>base_mermonkey</x:v>
      </x:c>
      <x:c r="B29" s="25" t="str">
        <x:v>Mermonkey base model</x:v>
      </x:c>
      <x:c r="C29" s="25" t="str">
        <x:v>https://raw.githubusercontent.com/Btd6ModHelper/btd6-game-data/main/Towers/Mermonkey/Mermonkey.json</x:v>
      </x:c>
      <x:c r="D29" s="25" t="str">
        <x:v>Inspected 000 model: attack component, damage, pierce, interval and local range where applicable.</x:v>
      </x:c>
      <x:c r="E29" s="25"/>
      <x:c r="F29" s="25" t="str">
        <x:v>2026-09-20</x:v>
      </x:c>
    </x:row>
    <x:row r="30" ht="100" customHeight="1">
      <x:c r="A30" s="25" t="str">
        <x:v>base_skywarden</x:v>
      </x:c>
      <x:c r="B30" s="25" t="str">
        <x:v>Skywarden base model</x:v>
      </x:c>
      <x:c r="C30" s="25" t="str">
        <x:v>https://raw.githubusercontent.com/Btd6ModHelper/btd6-game-data/main/Towers/Skywarden/Skywarden.json</x:v>
      </x:c>
      <x:c r="D30" s="25" t="str">
        <x:v>Inspected 000 model: attack component, damage, pierce, interval and local range where applicable.</x:v>
      </x:c>
      <x:c r="E30" s="25"/>
      <x:c r="F30" s="25" t="str">
        <x:v>2026-09-20</x:v>
      </x:c>
    </x:row>
    <x:row r="31" ht="100" customHeight="1">
      <x:c r="A31" s="25" t="str">
        <x:v>base_banana_farm</x:v>
      </x:c>
      <x:c r="B31" s="25" t="str">
        <x:v>Banana Farm base model</x:v>
      </x:c>
      <x:c r="C31" s="25" t="str">
        <x:v>https://raw.githubusercontent.com/Btd6ModHelper/btd6-game-data/main/Towers/BananaFarm/BananaFarm.json</x:v>
      </x:c>
      <x:c r="D31" s="25" t="str">
        <x:v>Inspected 000 model: attack component, damage, pierce, interval and local range where applicable.</x:v>
      </x:c>
      <x:c r="E31" s="25"/>
      <x:c r="F31" s="25" t="str">
        <x:v>2026-09-20</x:v>
      </x:c>
    </x:row>
    <x:row r="32" ht="100" customHeight="1">
      <x:c r="A32" s="25" t="str">
        <x:v>base_spike_factory</x:v>
      </x:c>
      <x:c r="B32" s="25" t="str">
        <x:v>Spike Factory base model</x:v>
      </x:c>
      <x:c r="C32" s="25" t="str">
        <x:v>https://raw.githubusercontent.com/Btd6ModHelper/btd6-game-data/main/Towers/SpikeFactory/SpikeFactory.json</x:v>
      </x:c>
      <x:c r="D32" s="25" t="str">
        <x:v>Inspected 000 model: attack component, damage, pierce, interval and local range where applicable.</x:v>
      </x:c>
      <x:c r="E32" s="25"/>
      <x:c r="F32" s="25" t="str">
        <x:v>2026-09-20</x:v>
      </x:c>
    </x:row>
    <x:row r="33" ht="100" customHeight="1">
      <x:c r="A33" s="25" t="str">
        <x:v>base_monkey_village</x:v>
      </x:c>
      <x:c r="B33" s="25" t="str">
        <x:v>Monkey Village base model</x:v>
      </x:c>
      <x:c r="C33" s="25" t="str">
        <x:v>https://raw.githubusercontent.com/Btd6ModHelper/btd6-game-data/main/Towers/MonkeyVillage/MonkeyVillage.json</x:v>
      </x:c>
      <x:c r="D33" s="25" t="str">
        <x:v>Inspected 000 model: attack component, damage, pierce, interval and local range where applicable.</x:v>
      </x:c>
      <x:c r="E33" s="25"/>
      <x:c r="F33" s="25" t="str">
        <x:v>2026-09-20</x:v>
      </x:c>
    </x:row>
    <x:row r="34" ht="100" customHeight="1">
      <x:c r="A34" s="25" t="str">
        <x:v>base_engineer_monkey</x:v>
      </x:c>
      <x:c r="B34" s="25" t="str">
        <x:v>Engineer Monkey base model</x:v>
      </x:c>
      <x:c r="C34" s="25" t="str">
        <x:v>https://raw.githubusercontent.com/Btd6ModHelper/btd6-game-data/main/Towers/EngineerMonkey/EngineerMonkey.json</x:v>
      </x:c>
      <x:c r="D34" s="25" t="str">
        <x:v>Inspected 000 model: attack component, damage, pierce, interval and local range where applicable.</x:v>
      </x:c>
      <x:c r="E34" s="25"/>
      <x:c r="F34" s="25" t="str">
        <x:v>2026-09-20</x:v>
      </x:c>
    </x:row>
    <x:row r="35" ht="100" customHeight="1">
      <x:c r="A35" s="25" t="str">
        <x:v>base_beast_handler</x:v>
      </x:c>
      <x:c r="B35" s="25" t="str">
        <x:v>Beast Handler base model</x:v>
      </x:c>
      <x:c r="C35" s="25" t="str">
        <x:v>https://raw.githubusercontent.com/Btd6ModHelper/btd6-game-data/main/Towers/BeastHandler/BeastHandler.json</x:v>
      </x:c>
      <x:c r="D35" s="25" t="str">
        <x:v>Inspected 000 model: attack component, damage, pierce, interval and local range where applicable.</x:v>
      </x:c>
      <x:c r="E35" s="25"/>
      <x:c r="F35" s="25" t="str">
        <x:v>2026-09-20</x:v>
      </x:c>
    </x:row>
    <x:row r="36" ht="100" customHeight="1">
      <x:c r="A36" s="25" t="str">
        <x:v>wiki_dart_monkey</x:v>
      </x:c>
      <x:c r="B36" s="25" t="str">
        <x:v>Dart Monkey wiki article</x:v>
      </x:c>
      <x:c r="C36" s="25" t="str">
        <x:v>https://www.bloonswiki.com/Dart_Monkey_(BTD6)</x:v>
      </x:c>
      <x:c r="D36" s="25" t="str">
        <x:v>Historical wiki XP and base-cost comparison. The version below labels the base-stat table, not necessarily every section of the article.</x:v>
      </x:c>
      <x:c r="E36" s="25" t="str">
        <x:v>48.0</x:v>
      </x:c>
      <x:c r="F36" s="25" t="str">
        <x:v>2026-09-20</x:v>
      </x:c>
    </x:row>
    <x:row r="37" ht="100" customHeight="1">
      <x:c r="A37" s="25" t="str">
        <x:v>wiki_bomb_shooter</x:v>
      </x:c>
      <x:c r="B37" s="25" t="str">
        <x:v>Bomb Shooter wiki article</x:v>
      </x:c>
      <x:c r="C37" s="25" t="str">
        <x:v>https://www.bloonswiki.com/Bomb_Shooter_(BTD6)</x:v>
      </x:c>
      <x:c r="D37" s="25" t="str">
        <x:v>Historical wiki XP and base-cost comparison. The version below labels the base-stat table, not necessarily every section of the article.</x:v>
      </x:c>
      <x:c r="E37" s="25" t="str">
        <x:v>47.0</x:v>
      </x:c>
      <x:c r="F37" s="25" t="str">
        <x:v>2026-09-20</x:v>
      </x:c>
    </x:row>
    <x:row r="38" ht="100" customHeight="1">
      <x:c r="A38" s="25" t="str">
        <x:v>wiki_ice_monkey</x:v>
      </x:c>
      <x:c r="B38" s="25" t="str">
        <x:v>Ice Monkey wiki article</x:v>
      </x:c>
      <x:c r="C38" s="25" t="str">
        <x:v>https://www.bloonswiki.com/Ice_Monkey_(BTD6)</x:v>
      </x:c>
      <x:c r="D38" s="25" t="str">
        <x:v>Historical wiki XP and base-cost comparison. The version below labels the base-stat table, not necessarily every section of the article.</x:v>
      </x:c>
      <x:c r="E38" s="25" t="str">
        <x:v>46.2</x:v>
      </x:c>
      <x:c r="F38" s="25" t="str">
        <x:v>2026-09-20</x:v>
      </x:c>
    </x:row>
    <x:row r="39" ht="100" customHeight="1">
      <x:c r="A39" s="25" t="str">
        <x:v>wiki_mermonkey</x:v>
      </x:c>
      <x:c r="B39" s="25" t="str">
        <x:v>Mermonkey wiki article</x:v>
      </x:c>
      <x:c r="C39" s="25" t="str">
        <x:v>https://www.bloonswiki.com/Mermonkey_(BTD6)</x:v>
      </x:c>
      <x:c r="D39" s="25" t="str">
        <x:v>Historical wiki XP and base-cost comparison. The version below labels the base-stat table, not necessarily every section of the article.</x:v>
      </x:c>
      <x:c r="E39" s="25" t="str">
        <x:v>48.0</x:v>
      </x:c>
      <x:c r="F39" s="25" t="str">
        <x:v>2026-09-20</x:v>
      </x:c>
    </x:row>
    <x:row r="40" ht="100" customHeight="1">
      <x:c r="A40" s="25" t="str">
        <x:v>wiki_monkey_village</x:v>
      </x:c>
      <x:c r="B40" s="25" t="str">
        <x:v>Monkey Village wiki article</x:v>
      </x:c>
      <x:c r="C40" s="25" t="str">
        <x:v>https://www.bloonswiki.com/Monkey_Village_(BTD6)</x:v>
      </x:c>
      <x:c r="D40" s="25" t="str">
        <x:v>Historical wiki XP and base-cost comparison. The version below labels the base-stat table, not necessarily every section of the article.</x:v>
      </x:c>
      <x:c r="E40" s="25" t="str">
        <x:v>46.2</x:v>
      </x:c>
      <x:c r="F40" s="25" t="str">
        <x:v>2026-09-20</x:v>
      </x:c>
    </x:row>
    <x:row r="41" ht="100" customHeight="1">
      <x:c r="A41" s="25" t="str">
        <x:v>wiki_engineer_monkey</x:v>
      </x:c>
      <x:c r="B41" s="25" t="str">
        <x:v>Engineer Monkey wiki article</x:v>
      </x:c>
      <x:c r="C41" s="25" t="str">
        <x:v>https://www.bloonswiki.com/Engineer_Monkey_(BTD6)</x:v>
      </x:c>
      <x:c r="D41" s="25" t="str">
        <x:v>Historical wiki XP and base-cost comparison. The version below labels the base-stat table, not necessarily every section of the article.</x:v>
      </x:c>
      <x:c r="E41" s="25" t="str">
        <x:v>47.0</x:v>
      </x:c>
      <x:c r="F41" s="25" t="str">
        <x:v>2026-09-20</x:v>
      </x:c>
    </x:row>
    <x:row r="42" ht="100" customHeight="1">
      <x:c r="A42" s="25" t="str">
        <x:v>wiki_beast_handler</x:v>
      </x:c>
      <x:c r="B42" s="25" t="str">
        <x:v>Beast Handler wiki article</x:v>
      </x:c>
      <x:c r="C42" s="25" t="str">
        <x:v>https://www.bloonswiki.com/Beast_Handler_(BTD6)</x:v>
      </x:c>
      <x:c r="D42" s="25" t="str">
        <x:v>Historical wiki XP and base-cost comparison. The version below labels the base-stat table, not necessarily every section of the article.</x:v>
      </x:c>
      <x:c r="E42" s="25" t="str">
        <x:v>46.0</x:v>
      </x:c>
      <x:c r="F42" s="25" t="str">
        <x:v>2026-09-20</x:v>
      </x:c>
    </x:row>
    <x:row r="43" ht="100" customHeight="1">
      <x:c r="A43" s="25" t="str">
        <x:v>paragon_dart_monkey</x:v>
      </x:c>
      <x:c r="B43" s="25" t="str">
        <x:v>Apex Plasma Master exported upgrade</x:v>
      </x:c>
      <x:c r="C43" s="25" t="str">
        <x:v>https://raw.githubusercontent.com/Btd6ModHelper/btd6-game-data/main/Upgrades/DartMonkey%20Paragon.json</x:v>
      </x:c>
      <x:c r="D43" s="25" t="str">
        <x:v>Paragon name mapping, Medium upgrade cost and XP. Release status is not established by a data-file record.</x:v>
      </x:c>
      <x:c r="E43" s="25"/>
      <x:c r="F43" s="25" t="str">
        <x:v>2026-09-20</x:v>
      </x:c>
    </x:row>
    <x:row r="44" ht="100" customHeight="1">
      <x:c r="A44" s="25" t="str">
        <x:v>paragon_boomerang_monkey</x:v>
      </x:c>
      <x:c r="B44" s="25" t="str">
        <x:v>Glaive Dominus exported upgrade</x:v>
      </x:c>
      <x:c r="C44" s="25" t="str">
        <x:v>https://raw.githubusercontent.com/Btd6ModHelper/btd6-game-data/main/Upgrades/BoomerangMonkey%20Paragon.json</x:v>
      </x:c>
      <x:c r="D44" s="25" t="str">
        <x:v>Paragon name mapping, Medium upgrade cost and XP. Release status is not established by a data-file record.</x:v>
      </x:c>
      <x:c r="E44" s="25"/>
      <x:c r="F44" s="25" t="str">
        <x:v>2026-09-20</x:v>
      </x:c>
    </x:row>
    <x:row r="45" ht="100" customHeight="1">
      <x:c r="A45" s="25" t="str">
        <x:v>paragon_bomb_shooter</x:v>
      </x:c>
      <x:c r="B45" s="25" t="str">
        <x:v>Ballistic Obliteration Missile Bunker exported upgrade</x:v>
      </x:c>
      <x:c r="C45" s="25" t="str">
        <x:v>https://raw.githubusercontent.com/Btd6ModHelper/btd6-game-data/main/Upgrades/BombShooter%20Paragon.json</x:v>
      </x:c>
      <x:c r="D45" s="25" t="str">
        <x:v>Paragon name mapping, Medium upgrade cost and XP. Release status is not established by a data-file record.</x:v>
      </x:c>
      <x:c r="E45" s="25"/>
      <x:c r="F45" s="25" t="str">
        <x:v>2026-09-20</x:v>
      </x:c>
    </x:row>
    <x:row r="46" ht="100" customHeight="1">
      <x:c r="A46" s="25" t="str">
        <x:v>paragon_tack_shooter</x:v>
      </x:c>
      <x:c r="B46" s="25" t="str">
        <x:v>Crucible of Steel and Flame exported upgrade</x:v>
      </x:c>
      <x:c r="C46" s="25" t="str">
        <x:v>https://raw.githubusercontent.com/Btd6ModHelper/btd6-game-data/main/Upgrades/TackShooter%20Paragon.json</x:v>
      </x:c>
      <x:c r="D46" s="25" t="str">
        <x:v>Paragon name mapping, Medium upgrade cost and XP. Release status is not established by a data-file record.</x:v>
      </x:c>
      <x:c r="E46" s="25"/>
      <x:c r="F46" s="25" t="str">
        <x:v>2026-09-20</x:v>
      </x:c>
    </x:row>
    <x:row r="47" ht="100" customHeight="1">
      <x:c r="A47" s="25" t="str">
        <x:v>paragon_ice_monkey</x:v>
      </x:c>
      <x:c r="B47" s="25" t="str">
        <x:v>Herald of Everfrost exported upgrade</x:v>
      </x:c>
      <x:c r="C47" s="25" t="str">
        <x:v>https://raw.githubusercontent.com/Btd6ModHelper/btd6-game-data/main/Upgrades/IceMonkey%20Paragon.json</x:v>
      </x:c>
      <x:c r="D47" s="25" t="str">
        <x:v>Paragon name mapping, Medium upgrade cost and XP. Release status is not established by a data-file record.</x:v>
      </x:c>
      <x:c r="E47" s="25"/>
      <x:c r="F47" s="25" t="str">
        <x:v>2026-09-20</x:v>
      </x:c>
    </x:row>
    <x:row r="48" ht="100" customHeight="1">
      <x:c r="A48" s="25" t="str">
        <x:v>paragon_monkey_sub</x:v>
      </x:c>
      <x:c r="B48" s="25" t="str">
        <x:v>Nautic Siege Core exported upgrade</x:v>
      </x:c>
      <x:c r="C48" s="25" t="str">
        <x:v>https://raw.githubusercontent.com/Btd6ModHelper/btd6-game-data/main/Upgrades/MonkeySub%20Paragon.json</x:v>
      </x:c>
      <x:c r="D48" s="25" t="str">
        <x:v>Paragon name mapping, Medium upgrade cost and XP. Release status is not established by a data-file record.</x:v>
      </x:c>
      <x:c r="E48" s="25"/>
      <x:c r="F48" s="25" t="str">
        <x:v>2026-09-20</x:v>
      </x:c>
    </x:row>
    <x:row r="49" ht="100" customHeight="1">
      <x:c r="A49" s="25" t="str">
        <x:v>paragon_monkey_buccaneer</x:v>
      </x:c>
      <x:c r="B49" s="25" t="str">
        <x:v>Navarch of the Seas exported upgrade</x:v>
      </x:c>
      <x:c r="C49" s="25" t="str">
        <x:v>https://raw.githubusercontent.com/Btd6ModHelper/btd6-game-data/main/Upgrades/MonkeyBuccaneer%20Paragon.json</x:v>
      </x:c>
      <x:c r="D49" s="25" t="str">
        <x:v>Paragon name mapping, Medium upgrade cost and XP. Release status is not established by a data-file record.</x:v>
      </x:c>
      <x:c r="E49" s="25"/>
      <x:c r="F49" s="25" t="str">
        <x:v>2026-09-20</x:v>
      </x:c>
    </x:row>
    <x:row r="50" ht="100" customHeight="1">
      <x:c r="A50" s="25" t="str">
        <x:v>paragon_monkey_ace</x:v>
      </x:c>
      <x:c r="B50" s="25" t="str">
        <x:v>Goliath Doomship exported upgrade</x:v>
      </x:c>
      <x:c r="C50" s="25" t="str">
        <x:v>https://raw.githubusercontent.com/Btd6ModHelper/btd6-game-data/main/Upgrades/MonkeyAce%20Paragon.json</x:v>
      </x:c>
      <x:c r="D50" s="25" t="str">
        <x:v>Paragon name mapping, Medium upgrade cost and XP. Release status is not established by a data-file record.</x:v>
      </x:c>
      <x:c r="E50" s="25"/>
      <x:c r="F50" s="25" t="str">
        <x:v>2026-09-20</x:v>
      </x:c>
    </x:row>
    <x:row r="51" ht="100" customHeight="1">
      <x:c r="A51" s="25" t="str">
        <x:v>paragon_wizard_monkey</x:v>
      </x:c>
      <x:c r="B51" s="25" t="str">
        <x:v>Magus Perfectus exported upgrade</x:v>
      </x:c>
      <x:c r="C51" s="25" t="str">
        <x:v>https://raw.githubusercontent.com/Btd6ModHelper/btd6-game-data/main/Upgrades/WizardMonkey%20Paragon.json</x:v>
      </x:c>
      <x:c r="D51" s="25" t="str">
        <x:v>Paragon name mapping, Medium upgrade cost and XP. Release status is not established by a data-file record.</x:v>
      </x:c>
      <x:c r="E51" s="25"/>
      <x:c r="F51" s="25" t="str">
        <x:v>2026-09-20</x:v>
      </x:c>
    </x:row>
    <x:row r="52" ht="100" customHeight="1">
      <x:c r="A52" s="25" t="str">
        <x:v>paragon_ninja_monkey</x:v>
      </x:c>
      <x:c r="B52" s="25" t="str">
        <x:v>Ascended Shadow exported upgrade</x:v>
      </x:c>
      <x:c r="C52" s="25" t="str">
        <x:v>https://raw.githubusercontent.com/Btd6ModHelper/btd6-game-data/main/Upgrades/NinjaMonkey%20Paragon.json</x:v>
      </x:c>
      <x:c r="D52" s="25" t="str">
        <x:v>Paragon name mapping, Medium upgrade cost and XP. Release status is not established by a data-file record.</x:v>
      </x:c>
      <x:c r="E52" s="25"/>
      <x:c r="F52" s="25" t="str">
        <x:v>2026-09-20</x:v>
      </x:c>
    </x:row>
    <x:row r="53" ht="100" customHeight="1">
      <x:c r="A53" s="25" t="str">
        <x:v>paragon_druid</x:v>
      </x:c>
      <x:c r="B53" s="25" t="str">
        <x:v>Root of all Nature exported upgrade</x:v>
      </x:c>
      <x:c r="C53" s="25" t="str">
        <x:v>https://raw.githubusercontent.com/Btd6ModHelper/btd6-game-data/main/Upgrades/Druid%20Paragon.json</x:v>
      </x:c>
      <x:c r="D53" s="25" t="str">
        <x:v>Paragon name mapping, Medium upgrade cost and XP. Release status is not established by a data-file record.</x:v>
      </x:c>
      <x:c r="E53" s="25"/>
      <x:c r="F53" s="25" t="str">
        <x:v>2026-09-20</x:v>
      </x:c>
    </x:row>
    <x:row r="54" ht="100" customHeight="1">
      <x:c r="A54" s="25" t="str">
        <x:v>paragon_spike_factory</x:v>
      </x:c>
      <x:c r="B54" s="25" t="str">
        <x:v>Mega Massive Munitions Factory exported upgrade</x:v>
      </x:c>
      <x:c r="C54" s="25" t="str">
        <x:v>https://raw.githubusercontent.com/Btd6ModHelper/btd6-game-data/main/Upgrades/SpikeFactory%20Paragon.json</x:v>
      </x:c>
      <x:c r="D54" s="25" t="str">
        <x:v>Paragon name mapping, Medium upgrade cost and XP. Release status is not established by a data-file record.</x:v>
      </x:c>
      <x:c r="E54" s="25"/>
      <x:c r="F54" s="25" t="str">
        <x:v>2026-09-20</x:v>
      </x:c>
    </x:row>
    <x:row r="55" ht="100" customHeight="1">
      <x:c r="A55" s="25" t="str">
        <x:v>paragon_engineer_monkey</x:v>
      </x:c>
      <x:c r="B55" s="25" t="str">
        <x:v>Master Builder exported upgrade</x:v>
      </x:c>
      <x:c r="C55" s="25" t="str">
        <x:v>https://raw.githubusercontent.com/Btd6ModHelper/btd6-game-data/main/Upgrades/EngineerMonkey%20Paragon.json</x:v>
      </x:c>
      <x:c r="D55" s="25" t="str">
        <x:v>Paragon name mapping, Medium upgrade cost and XP. Release status is not established by a data-file record.</x:v>
      </x:c>
      <x:c r="E55" s="25"/>
      <x:c r="F55" s="25" t="str">
        <x:v>2026-09-20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4abdf404bee44f4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6" hidden="0" customWidth="1"/>
    <x:col min="3" max="3" width="40" hidden="0" customWidth="1"/>
  </x:cols>
  <x:sheetData>
    <x:row r="1" ht="38" customHeight="1">
      <x:c r="A1" s="8" t="str">
        <x:v>Price calculation assumptions</x:v>
      </x:c>
      <x:c r="B1" s="8"/>
      <x:c r="C1" s="8"/>
    </x:row>
    <x:row r="2" ht="34" customHeight="1">
      <x:c r="A2" s="13" t="str">
        <x:v>Difficulty prices are community-rule calculations, not independently checked in-game. No discounts, Knowledge or challenge modifiers.</x:v>
      </x:c>
      <x:c r="B2" s="13"/>
      <x:c r="C2" s="13"/>
    </x:row>
    <x:row r="3">
      <x:c r="A3" s="4"/>
      <x:c r="B3" s="4"/>
      <x:c r="C3" s="4"/>
    </x:row>
    <x:row r="4" ht="34" customHeight="1">
      <x:c r="A4" s="19" t="str">
        <x:v>Parameter</x:v>
      </x:c>
      <x:c r="B4" s="19" t="str">
        <x:v>Value</x:v>
      </x:c>
      <x:c r="C4" s="19" t="str">
        <x:v>Meaning</x:v>
      </x:c>
    </x:row>
    <x:row r="5" ht="34" customHeight="1">
      <x:c r="A5" s="25" t="str">
        <x:v>Easy multiplier</x:v>
      </x:c>
      <x:c r="B5" s="25" t="n">
        <x:v>0.85</x:v>
      </x:c>
      <x:c r="C5" s="25" t="str">
        <x:v>Calculated values only</x:v>
      </x:c>
    </x:row>
    <x:row r="6" ht="34" customHeight="1">
      <x:c r="A6" s="25" t="str">
        <x:v>Medium multiplier</x:v>
      </x:c>
      <x:c r="B6" s="25" t="n">
        <x:v>1</x:v>
      </x:c>
      <x:c r="C6" s="25" t="str">
        <x:v>Medium values are transcribed, not recalculated</x:v>
      </x:c>
    </x:row>
    <x:row r="7" ht="34" customHeight="1">
      <x:c r="A7" s="25" t="str">
        <x:v>Hard multiplier</x:v>
      </x:c>
      <x:c r="B7" s="25" t="n">
        <x:v>1.08</x:v>
      </x:c>
      <x:c r="C7" s="25" t="str">
        <x:v>Calculated values only</x:v>
      </x:c>
    </x:row>
    <x:row r="8" ht="34" customHeight="1">
      <x:c r="A8" s="25" t="str">
        <x:v>Impoppable multiplier</x:v>
      </x:c>
      <x:c r="B8" s="25" t="n">
        <x:v>1.2</x:v>
      </x:c>
      <x:c r="C8" s="25" t="str">
        <x:v>Calculated values only</x:v>
      </x:c>
    </x:row>
    <x:row r="9" ht="34" customHeight="1">
      <x:c r="A9" s="25" t="str">
        <x:v>Rounding increment</x:v>
      </x:c>
      <x:c r="B9" s="25" t="n">
        <x:v>5</x:v>
      </x:c>
      <x:c r="C9" s="25" t="str">
        <x:v>Source-specific cash rounding</x:v>
      </x:c>
    </x:row>
    <x:row r="10" ht="34" customHeight="1">
      <x:c r="A10" s="25" t="str">
        <x:v>Residual threshold</x:v>
      </x:c>
      <x:c r="B10" s="25" t="n">
        <x:v>2.84</x:v>
      </x:c>
      <x:c r="C10" s="25" t="str">
        <x:v>Round down below this residual, otherwise up</x:v>
      </x:c>
    </x:row>
    <x:row r="12" ht="48" customHeight="1">
      <x:c r="A12" s="28" t="str">
        <x:v>Source</x:v>
      </x:c>
      <x:c r="B12" s="28" t="str">
        <x:v>https://raw.githubusercontent.com/hemisemidemipresent/cyberquincy/master/helpers/bloons-general.js</x:v>
      </x:c>
      <x:c r="C12" s="28"/>
    </x:row>
    <x:row r="13" ht="48" customHeight="1">
      <x:c r="A13" s="28" t="str">
        <x:v>Method</x:v>
      </x:c>
      <x:c r="B13" s="28" t="str">
        <x:v>Floor scaled upgrade cost before five-cash rounding. Do not floor scaled placement cost first.</x:v>
      </x:c>
      <x:c r="C13" s="28"/>
    </x:row>
  </x:sheetData>
  <x:mergeCells>
    <x:mergeCell ref="A1:C1"/>
    <x:mergeCell ref="A2:C2"/>
    <x:mergeCell ref="B12:C12"/>
    <x:mergeCell ref="B13:C13"/>
  </x:mergeCells>
  <x:pageMargins left="0.7" right="0.7" top="0.75" bottom="0.75" header="0.3" footer="0.3"/>
  <x:tableParts count="1">
    <x:tablePart xmlns:r="http://schemas.openxmlformats.org/officeDocument/2006/relationships" r:id="R4ac4722817b24b62"/>
  </x:tableParts>
</x:worksheet>
</file>